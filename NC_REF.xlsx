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y.wal-mart.com/personal/dvaldeb_cl_wal-mart_com/Documents/Escritorio/"/>
    </mc:Choice>
  </mc:AlternateContent>
  <xr:revisionPtr revIDLastSave="4" documentId="11_6704F1501120ADEB8CDC4B1B60FE3E7544554C20" xr6:coauthVersionLast="47" xr6:coauthVersionMax="47" xr10:uidLastSave="{25B91868-C49B-4026-A753-33C3FFB623CF}"/>
  <bookViews>
    <workbookView xWindow="-110" yWindow="-110" windowWidth="19420" windowHeight="10300" activeTab="1" xr2:uid="{00000000-000D-0000-FFFF-FFFF00000000}"/>
  </bookViews>
  <sheets>
    <sheet name="Instrucción" sheetId="1" r:id="rId1"/>
    <sheet name="Value Stream - AT" sheetId="2" r:id="rId2"/>
    <sheet name="FTE´s" sheetId="3" r:id="rId3"/>
    <sheet name="Hoja1" sheetId="4" r:id="rId4"/>
    <sheet name="otros" sheetId="5" state="hidden" r:id="rId5"/>
    <sheet name="13 etapas" sheetId="6" r:id="rId6"/>
  </sheets>
  <definedNames>
    <definedName name="_xlnm._FilterDatabase" localSheetId="2" hidden="1">FTE´s!$A$4:$AL$12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8" i="3" l="1"/>
  <c r="AI18" i="3" s="1"/>
  <c r="AD18" i="3"/>
  <c r="AB18" i="3"/>
  <c r="Z18" i="3"/>
  <c r="X18" i="3"/>
  <c r="V18" i="3"/>
  <c r="T18" i="3"/>
  <c r="R18" i="3"/>
  <c r="P18" i="3"/>
  <c r="N18" i="3"/>
  <c r="L18" i="3"/>
  <c r="J18" i="3"/>
  <c r="H18" i="3"/>
  <c r="F18" i="3"/>
  <c r="AH17" i="3"/>
  <c r="AI17" i="3" s="1"/>
  <c r="AD17" i="3"/>
  <c r="AB17" i="3"/>
  <c r="Z17" i="3"/>
  <c r="X17" i="3"/>
  <c r="V17" i="3"/>
  <c r="T17" i="3"/>
  <c r="R17" i="3"/>
  <c r="P17" i="3"/>
  <c r="N17" i="3"/>
  <c r="L17" i="3"/>
  <c r="J17" i="3"/>
  <c r="H17" i="3"/>
  <c r="F17" i="3"/>
  <c r="AH16" i="3"/>
  <c r="AI16" i="3" s="1"/>
  <c r="AD16" i="3"/>
  <c r="AB16" i="3"/>
  <c r="Z16" i="3"/>
  <c r="X16" i="3"/>
  <c r="V16" i="3"/>
  <c r="T16" i="3"/>
  <c r="R16" i="3"/>
  <c r="P16" i="3"/>
  <c r="N16" i="3"/>
  <c r="L16" i="3"/>
  <c r="J16" i="3"/>
  <c r="H16" i="3"/>
  <c r="F16" i="3"/>
  <c r="AH15" i="3"/>
  <c r="AI15" i="3" s="1"/>
  <c r="AD15" i="3"/>
  <c r="AB15" i="3"/>
  <c r="Z15" i="3"/>
  <c r="X15" i="3"/>
  <c r="V15" i="3"/>
  <c r="T15" i="3"/>
  <c r="R15" i="3"/>
  <c r="P15" i="3"/>
  <c r="N15" i="3"/>
  <c r="L15" i="3"/>
  <c r="J15" i="3"/>
  <c r="H15" i="3"/>
  <c r="F15" i="3"/>
  <c r="AK14" i="3"/>
  <c r="AI14" i="3"/>
  <c r="AE14" i="3"/>
  <c r="AC14" i="3"/>
  <c r="AA14" i="3"/>
  <c r="Y14" i="3"/>
  <c r="W14" i="3"/>
  <c r="U14" i="3"/>
  <c r="S14" i="3"/>
  <c r="Q14" i="3"/>
  <c r="O14" i="3"/>
  <c r="M14" i="3"/>
  <c r="K14" i="3"/>
  <c r="I14" i="3"/>
  <c r="G14" i="3"/>
  <c r="AL14" i="3" s="1"/>
  <c r="AK13" i="3"/>
  <c r="AI13" i="3"/>
  <c r="AE13" i="3"/>
  <c r="AC13" i="3"/>
  <c r="AA13" i="3"/>
  <c r="Y13" i="3"/>
  <c r="W13" i="3"/>
  <c r="U13" i="3"/>
  <c r="S13" i="3"/>
  <c r="Q13" i="3"/>
  <c r="O13" i="3"/>
  <c r="M13" i="3"/>
  <c r="K13" i="3"/>
  <c r="I13" i="3"/>
  <c r="G13" i="3"/>
  <c r="AL13" i="3" s="1"/>
  <c r="AK12" i="3"/>
  <c r="AI12" i="3"/>
  <c r="AF12" i="3"/>
  <c r="AG12" i="3" s="1"/>
  <c r="AE12" i="3"/>
  <c r="AC12" i="3"/>
  <c r="AA12" i="3"/>
  <c r="Y12" i="3"/>
  <c r="W12" i="3"/>
  <c r="U12" i="3"/>
  <c r="S12" i="3"/>
  <c r="Q12" i="3"/>
  <c r="O12" i="3"/>
  <c r="M12" i="3"/>
  <c r="K12" i="3"/>
  <c r="I12" i="3"/>
  <c r="G12" i="3"/>
  <c r="AL12" i="3" s="1"/>
  <c r="AK11" i="3"/>
  <c r="AI11" i="3"/>
  <c r="AF11" i="3"/>
  <c r="AG11" i="3" s="1"/>
  <c r="AE11" i="3"/>
  <c r="AC11" i="3"/>
  <c r="AA11" i="3"/>
  <c r="Y11" i="3"/>
  <c r="W11" i="3"/>
  <c r="U11" i="3"/>
  <c r="S11" i="3"/>
  <c r="Q11" i="3"/>
  <c r="O11" i="3"/>
  <c r="M11" i="3"/>
  <c r="K11" i="3"/>
  <c r="I11" i="3"/>
  <c r="G11" i="3"/>
  <c r="AL11" i="3" s="1"/>
  <c r="AK10" i="3"/>
  <c r="AI10" i="3"/>
  <c r="AF10" i="3"/>
  <c r="AG10" i="3" s="1"/>
  <c r="AE10" i="3"/>
  <c r="AC10" i="3"/>
  <c r="AA10" i="3"/>
  <c r="Y10" i="3"/>
  <c r="W10" i="3"/>
  <c r="U10" i="3"/>
  <c r="S10" i="3"/>
  <c r="Q10" i="3"/>
  <c r="O10" i="3"/>
  <c r="M10" i="3"/>
  <c r="AL10" i="3" s="1"/>
  <c r="K10" i="3"/>
  <c r="I10" i="3"/>
  <c r="G10" i="3"/>
  <c r="AK9" i="3"/>
  <c r="AM9" i="3" s="1"/>
  <c r="AN9" i="3" s="1"/>
  <c r="AI9" i="3"/>
  <c r="AE9" i="3"/>
  <c r="AC9" i="3"/>
  <c r="AA9" i="3"/>
  <c r="Y9" i="3"/>
  <c r="W9" i="3"/>
  <c r="U9" i="3"/>
  <c r="S9" i="3"/>
  <c r="Q9" i="3"/>
  <c r="O9" i="3"/>
  <c r="M9" i="3"/>
  <c r="K9" i="3"/>
  <c r="I9" i="3"/>
  <c r="G9" i="3"/>
  <c r="AL9" i="3" s="1"/>
  <c r="AK8" i="3"/>
  <c r="AM8" i="3" s="1"/>
  <c r="AN8" i="3" s="1"/>
  <c r="AI8" i="3"/>
  <c r="AE8" i="3"/>
  <c r="AC8" i="3"/>
  <c r="AA8" i="3"/>
  <c r="Y8" i="3"/>
  <c r="W8" i="3"/>
  <c r="U8" i="3"/>
  <c r="S8" i="3"/>
  <c r="Q8" i="3"/>
  <c r="O8" i="3"/>
  <c r="M8" i="3"/>
  <c r="K8" i="3"/>
  <c r="I8" i="3"/>
  <c r="G8" i="3"/>
  <c r="AL8" i="3" s="1"/>
  <c r="AK7" i="3"/>
  <c r="AM7" i="3" s="1"/>
  <c r="AN7" i="3" s="1"/>
  <c r="AI7" i="3"/>
  <c r="AE7" i="3"/>
  <c r="AC7" i="3"/>
  <c r="AA7" i="3"/>
  <c r="Y7" i="3"/>
  <c r="W7" i="3"/>
  <c r="U7" i="3"/>
  <c r="S7" i="3"/>
  <c r="Q7" i="3"/>
  <c r="O7" i="3"/>
  <c r="M7" i="3"/>
  <c r="K7" i="3"/>
  <c r="I7" i="3"/>
  <c r="G7" i="3"/>
  <c r="AL7" i="3" s="1"/>
  <c r="AK6" i="3"/>
  <c r="AM6" i="3" s="1"/>
  <c r="AN6" i="3" s="1"/>
  <c r="AI6" i="3"/>
  <c r="AE6" i="3"/>
  <c r="AC6" i="3"/>
  <c r="AA6" i="3"/>
  <c r="Y6" i="3"/>
  <c r="W6" i="3"/>
  <c r="U6" i="3"/>
  <c r="S6" i="3"/>
  <c r="Q6" i="3"/>
  <c r="O6" i="3"/>
  <c r="M6" i="3"/>
  <c r="K6" i="3"/>
  <c r="I6" i="3"/>
  <c r="G6" i="3"/>
  <c r="AL6" i="3" s="1"/>
  <c r="AK5" i="3"/>
  <c r="AI5" i="3"/>
  <c r="AG5" i="3"/>
  <c r="AE5" i="3"/>
  <c r="AC5" i="3"/>
  <c r="AA5" i="3"/>
  <c r="Y5" i="3"/>
  <c r="W5" i="3"/>
  <c r="U5" i="3"/>
  <c r="S5" i="3"/>
  <c r="Q5" i="3"/>
  <c r="O5" i="3"/>
  <c r="M5" i="3"/>
  <c r="K5" i="3"/>
  <c r="I5" i="3"/>
  <c r="G5" i="3"/>
  <c r="AL5" i="3" s="1"/>
  <c r="AG9" i="3" l="1"/>
  <c r="AG8" i="3"/>
  <c r="AG7" i="3"/>
  <c r="AG6" i="3"/>
  <c r="S16" i="3" l="1"/>
  <c r="U15" i="3"/>
  <c r="I16" i="3"/>
  <c r="AC15" i="3"/>
  <c r="U16" i="3"/>
  <c r="AA16" i="3"/>
  <c r="AE16" i="3"/>
  <c r="I15" i="3"/>
  <c r="AA18" i="3"/>
  <c r="W16" i="3"/>
  <c r="G17" i="3"/>
  <c r="AA15" i="3"/>
  <c r="S15" i="3"/>
  <c r="Y18" i="3"/>
  <c r="M16" i="3"/>
  <c r="M18" i="3"/>
  <c r="M15" i="3"/>
  <c r="AE17" i="3"/>
  <c r="Y15" i="3"/>
  <c r="M17" i="3"/>
  <c r="G18" i="3"/>
  <c r="U18" i="3"/>
  <c r="O16" i="3"/>
  <c r="Y17" i="3"/>
  <c r="Q17" i="3"/>
  <c r="K16" i="3"/>
  <c r="W17" i="3"/>
  <c r="O18" i="3"/>
  <c r="I18" i="3"/>
  <c r="S17" i="3"/>
  <c r="U17" i="3"/>
  <c r="K17" i="3"/>
  <c r="AC16" i="3"/>
  <c r="AA17" i="3"/>
  <c r="Q16" i="3"/>
  <c r="Q18" i="3"/>
  <c r="G16" i="3"/>
  <c r="O17" i="3"/>
  <c r="Q15" i="3"/>
  <c r="O15" i="3"/>
  <c r="AC18" i="3"/>
  <c r="G15" i="3"/>
  <c r="AE18" i="3"/>
  <c r="S18" i="3"/>
  <c r="AC17" i="3"/>
  <c r="AE15" i="3"/>
  <c r="I17" i="3"/>
  <c r="Y16" i="3"/>
  <c r="W15" i="3"/>
  <c r="W18" i="3"/>
  <c r="K15" i="3"/>
  <c r="K18" i="3"/>
</calcChain>
</file>

<file path=xl/sharedStrings.xml><?xml version="1.0" encoding="utf-8"?>
<sst xmlns="http://schemas.openxmlformats.org/spreadsheetml/2006/main" count="491" uniqueCount="285">
  <si>
    <t>Instrucción para mapear procesos y calcular FTE semanales</t>
  </si>
  <si>
    <t>¿Qué es un mapeo de procesos?</t>
  </si>
  <si>
    <t>Es como hacer un "paso a paso" de todo lo que hacemos en un proceso de trabajo. Nos ayuda a ver qué actividades se hacen, quién las hace y cuánto tiempo toma cada una. Así podemos mejorar, automatizar o simplificar lo que hacemos.</t>
  </si>
  <si>
    <t>📌 PASO 1: Elige el proceso que vas a mapear</t>
  </si>
  <si>
    <t>Ejemplo: “Proceso de contratación de personal” o “Reposición de productos en tienda”.</t>
  </si>
  <si>
    <t>✅ Tip: Empieza por un proceso que conozcas bien o que sea importante para el negocio. Guíate por la  hoja de "Taxonomía de Procesos"</t>
  </si>
  <si>
    <t>📌 PASO 2: Haz una lista de las actividades del proceso</t>
  </si>
  <si>
    <t>Hazlo como si contaras a alguien cómo se hace, paso a paso.</t>
  </si>
  <si>
    <t>Ejemplo:</t>
  </si>
  <si>
    <t>Recibir solicitud de contratación</t>
  </si>
  <si>
    <t>Publicar aviso</t>
  </si>
  <si>
    <t>Filtrar CV</t>
  </si>
  <si>
    <t>Hacer entrevistas</t>
  </si>
  <si>
    <t>Enviar propuesta</t>
  </si>
  <si>
    <t>Ingresar persona al sistema</t>
  </si>
  <si>
    <t>✅ Tip: Puedes hacer esto en una hoja o en una pizarra. Lo importante es que sea claro. Si el proceso es para todos igual, asegura que todos utilicen misma nomenclatura.</t>
  </si>
  <si>
    <t>📌 PASO 3: Para cada actividad, responde estas preguntas:</t>
  </si>
  <si>
    <t>Actividad</t>
  </si>
  <si>
    <t>¿Quién la hace?</t>
  </si>
  <si>
    <t>¿Cuánto tiempo toma cada vez?</t>
  </si>
  <si>
    <t>Analista de selección</t>
  </si>
  <si>
    <t>porcentaje de la semana que están en este tipo de actividad</t>
  </si>
  <si>
    <t>📌 PASO 4: Calcula el total de horas semanales del proceso</t>
  </si>
  <si>
    <t>Suma todas las horas semanales de las actividades del proceso.</t>
  </si>
  <si>
    <t>Filtrar CV: 5 horas</t>
  </si>
  <si>
    <t>Hacer entrevistas: 6 horas</t>
  </si>
  <si>
    <t>Ingresar al sistema: 2 horas</t>
  </si>
  <si>
    <t>Total del proceso: 13 horas</t>
  </si>
  <si>
    <t>✅ Tip: la sumatoria de horas totales semanal no puede ser más de 44</t>
  </si>
  <si>
    <t>📌 PASO 6: Calcula los FTE semanales</t>
  </si>
  <si>
    <t>Un FTE equivale a 44 horas semanales en jornada completa (esto puede variar según tu empresa).</t>
  </si>
  <si>
    <t>Fórmula:</t>
  </si>
  <si>
    <t>👉 Total de horas semanales del proceso / 44</t>
  </si>
  <si>
    <t>13 horas / 44 = 0,29 FTE</t>
  </si>
  <si>
    <t>✅ Esto quiere decir que se usa el 29% del tiempo de una persona a jornada completa para hacer ese proceso en una semana.</t>
  </si>
  <si>
    <t>🎯 Resultado final: Mapa de actividades + uso de tiempo</t>
  </si>
  <si>
    <t>Con esto puedes saber:</t>
  </si>
  <si>
    <t>Qué se hace en cada proceso</t>
  </si>
  <si>
    <t>Cuánto tiempo toma</t>
  </si>
  <si>
    <t>N</t>
  </si>
  <si>
    <t>VALOR</t>
  </si>
  <si>
    <t>Etapa</t>
  </si>
  <si>
    <t>Proceso</t>
  </si>
  <si>
    <t>Descripción de la Etapa (Valor Entregado)</t>
  </si>
  <si>
    <t>Responsable</t>
  </si>
  <si>
    <t>Descripción del Proceso</t>
  </si>
  <si>
    <t>Planificación</t>
  </si>
  <si>
    <t>Preparación estratégica de la negociación</t>
  </si>
  <si>
    <t>Permitir a la organización anticiparse al proceso de negociación colectiva mediante la definición de estrategia, análisis de impactos y levantamiento de información clave, asegurando preparación legal, financiera y operacional.</t>
  </si>
  <si>
    <t>Relaciones Sindicales, Finanzas</t>
  </si>
  <si>
    <t>Se identifican sindicatos y fechas de vencimiento de contratos colectivos, se levanta la dotación sindicalizada, se analizan convenios vigentes, se realiza costeo preliminar de beneficios y se define la estrategia negociadora junto al equipo legal y de finanzas</t>
  </si>
  <si>
    <t>Inicio Formal y Fuero</t>
  </si>
  <si>
    <t>Recepción de proyecto, activación de negociación y gestión de fuero</t>
  </si>
  <si>
    <t>Formalizar el inicio del proceso de negociación colectiva, habilitando su revisión legal y análisis económico, y resguardar los derechos de fuero de los trabajadores involucrados (10 días antes de la presentación del proyecto hasta 30 días después de la firma del CC), asegurando cumplimiento normativo y mitigando riesgos legales.</t>
  </si>
  <si>
    <t>Relaciones Sindicales, Finanzas, Operación</t>
  </si>
  <si>
    <t>Se recepciona el proyecto de contrato colectivo (negociación reglada) o se formaliza la solicitud de negociación (no reglada). Se valida jurídicamente el documento y se analizan sus cláusulas económicas y normativas. Simultáneamente se activa el control de fuero: se identifica a los trabajadores con fuero vigente, se comunica a la operación las restricciones de desvinculación y se monitorea el cumplimiento durante todo el proceso.</t>
  </si>
  <si>
    <t>Nómina y Validación</t>
  </si>
  <si>
    <t>Validación de nómina negociadora y socios</t>
  </si>
  <si>
    <t>Asegurar que la nómina de trabajadores involucrados en la negociación sea correcta, actualizada y cumpla con los requisitos legales para participar del proceso, habilitando el control de dotación por local.</t>
  </si>
  <si>
    <t>Relaciones Sindicales, Operación</t>
  </si>
  <si>
    <t>Se recepciona la nómina de negociadores del sindicato, se valida contra los registros de SAP, se identifican colaboradores con fuero, se cruza con dotación por local y se comunica a los desplegados  para control. Se identifican trabajadores que pueden incorporarse dentro de 5 días hábiles y se genera la nómina de fuero consolidada.</t>
  </si>
  <si>
    <t>Comunicación del Proceso</t>
  </si>
  <si>
    <t>Gestión comunicacional de la negociación colectiva</t>
  </si>
  <si>
    <t>Alinear a los distintos niveles de la organización respecto del inicio y desarrollo de la negociación, entregando lineamientos claros de actuación y resguardos legales.</t>
  </si>
  <si>
    <t>Relaciones Sindicales (info), ECO (comunicación), Operaciones, Comunicaciones Internas</t>
  </si>
  <si>
    <t>Se comunica el inicio de la negociación a la operación, se presentan los alcances del proyecto sindical, se informan restricciones legales y se entregan directrices para la correcta gestión del proceso en locales y áreas de apoyo. RRSS es responsable de la información y ECO de comunicar. Se comunican hitos clave: inicio de fuero, fecha probable de huelga, firma del CC, cambios del CC, pago del BTN y término de fuero.</t>
  </si>
  <si>
    <t>Análisis Financiero y Costeo</t>
  </si>
  <si>
    <t>Costeo, evaluación económica de propuestas y ajuste presupuestario</t>
  </si>
  <si>
    <t>Cuantificar el impacto económico de cada propuesta sindical y de la empresa, tanto durante la negociación como tras la firma del CC, permitiendo decisiones informadas y el correcto ajuste presupuestario.</t>
  </si>
  <si>
    <t>Finanzas, Relaciones Sindicales</t>
  </si>
  <si>
    <t>Se costean los beneficios propuestos (reajustes, bonos, SSMM), se analizan escenarios de costo por dotación afectada, se proyectan impactos presupuestarios anuales y se preparan reportes comparativos respecto del contrato vigente. Post-firma: se costea el CC firmado por beneficio y por local, se compara con el presupuesto asignado, se generan provisiones contables y se comunica el impacto financiero a la gerencia.</t>
  </si>
  <si>
    <t>Mesa de Negociación</t>
  </si>
  <si>
    <t>Desarrollo de sesiones de negociación con el sindicato</t>
  </si>
  <si>
    <t>Generar el espacio formal de diálogo entre la empresa y el sindicato para discutir las cláusulas del contrato colectivo, buscando acuerdos que equilibren los intereses de ambas partes.</t>
  </si>
  <si>
    <t>Se realizan sesiones periódicas de negociación, se analizan propuestas y contrapropuestas sindicales, se levantan actas de cada reunión, se evalúan impactos económicos de las solicitudes y se coordinan respuestas con las áreas de soporte (finanzas, legal).</t>
  </si>
  <si>
    <t>Última Oferta y Votación</t>
  </si>
  <si>
    <t>Formulación de última oferta, presentación y votación</t>
  </si>
  <si>
    <t>Formalizar la propuesta final de la empresa al sindicato y materializar la decisión democrática de los trabajadores, determinando si se acepta el acuerdo o se vota huelga.</t>
  </si>
  <si>
    <t>Relaciones Sindicales,  Operación</t>
  </si>
  <si>
    <t>Se consolida la última oferta considerando los acuerdos parciales alcanzados, se redacta formalmente el documento y se presenta al sindicato en los plazos legales. Se coordina el proceso de votación en los locales afectados, se monitorea el quórum legal, se reciben los resultados oficiales y se comunican internamente para activar el plan correspondiente (firma o huelga). Equipo de RRSS es rsponsable de informar a comite de crisis y operaciones  la fecha probable de huelga si corresponde (Negociación Reglada o posible fecha de negociación No reglada).</t>
  </si>
  <si>
    <t>Buenos Oficios / Mediación</t>
  </si>
  <si>
    <t>Mediación obligatoria por la Inspección del Trabajo</t>
  </si>
  <si>
    <t>Facilitar un último espacio de mediación obligatoria a través de la Inspección del Trabajo antes del inicio de la huelga, buscando un acuerdo entre las partes.</t>
  </si>
  <si>
    <t>Relaciones Sindicales, Legal</t>
  </si>
  <si>
    <t>Se participa en las audiencias de buenos oficios convocadas por la Dirección del Trabajo (5 días hábiles), se exploran alternativas de acuerdo, se evalúan nuevas propuestas y se prepara el escenario de huelga en caso de no llegar a acuerdo.</t>
  </si>
  <si>
    <t>SSMM y Equipos de Emergencia</t>
  </si>
  <si>
    <t>Definición de servicios mínimos y conformación de equipos de emergencia</t>
  </si>
  <si>
    <t>Garantizar la continuidad de las operaciones esenciales durante la huelga, conforme a la resolución de SSMM vigente, definiendo qué trabajadores cumplirán funciones de servicio mínimo en cada local por formato.</t>
  </si>
  <si>
    <t>Operación (Gerente Tienda), Relaciones Sindicales, Legal</t>
  </si>
  <si>
    <t>Se aplica la resolución de SSMM de Walmart: funciones limitadas a guardias de seguridad (Híper/Mayorista /SBA : 2 por turno; Express/Ekono: 1 por turno), 1 Jefe/Encargado de perecibles,(1)  especialistas carnicero y (1)  fiambrero, y(1) asistente de recepción o encragado de traslado de mercaderia . Función exclusiva: retiro de productos descompuestos. Se envía nómina a locales para que señalen quiénes del proyecto pueden cumplir SSMM (evaluando utilidad vs riesgo y grado de confianza). Se identifican bajas. adicional se entrega docuemtacion de SSMM, para validacion del cargo y rol, se entrega documentacion solicitada por la DT y Se notifica al sindicato y a la DT, de los resplados solicitados para autorizar SSMM.</t>
  </si>
  <si>
    <t>Huelga y Gestión Operacional</t>
  </si>
  <si>
    <t>Gestión de la huelga, reemplazos, dotación y monitoreo de tiendas</t>
  </si>
  <si>
    <t>Administrar integralmente el impacto de la huelga: monitorear el estado de cada tienda, gestionar reemplazos y redistribución de personal, y mantener visibilidad en tiempo real para la toma de decisiones.</t>
  </si>
  <si>
    <t>Operación, Relaciones Sindicales, Gerencia de Mercado, Gerencia de Tienda</t>
  </si>
  <si>
    <t>Se monitorea el estado de cada tienda afectada: situaciones criticas en proceso de huelga, manifestaciones, posibles agresiones, dotación presente, adherencia, áreas críticas. Se gestionan parámetros de dotación en BI por tribu (Líder, SBA, CM). Se controla el ingreso/salida de trabajadores en huelga. Se reporta diariamente el estado operacional a gerencia de mercado y operaciones.</t>
  </si>
  <si>
    <t>Cierre, Firma y Registro Legal</t>
  </si>
  <si>
    <t>Cierre de negociación, firma del CC, gestión de bajas y registro ante la DT</t>
  </si>
  <si>
    <t>Formalizar el acuerdo mediante la firma del contrato colectivo, gestionar las desvinculaciones asociadas al proceso, y cumplir con la obligación legal de registrar el CC ante la Dirección del Trabajo.</t>
  </si>
  <si>
    <t>Relaciones Sindicales, Legal, Operación</t>
  </si>
  <si>
    <t>Se redacta el texto definitivo del CC, se revisa jurídicamente cada cláusula, se firma por ambas partes. Se prepara y envía el CC firmado para depósito en la DT dentro del plazo legal (5 días hábiles), se obtiene constancia de registro y se archiva el comprobante.</t>
  </si>
  <si>
    <t>Implementación, BTN y Reincorporación</t>
  </si>
  <si>
    <t>Activación de beneficios, pago BTN y reincorporación post-huelga</t>
  </si>
  <si>
    <t>Materializar los compromisos del CC (beneficios, bonos, reajustes), ejecutar el pago del Bono de Término de Negociación y facilitar el retorno ordenado de los trabajadores post-huelga. Se genera y aplica protocolo de contencion de  las tiendas afectadas por huelga o por situaciones de riesgo n proceso de negociacion colectiva.</t>
  </si>
  <si>
    <t>Compensaciones, Nómina, Operación, Gerencia de Tienda, Líder de Persona</t>
  </si>
  <si>
    <t>Se parametrizan los nuevos beneficios en sistemas de nómina, se aplican reajustes salariales, se activan bonos y asignaciones, se verifican liquidaciones. Se calcula y ejecuta el pago del BTN según condiciones del CC. Se coordina el reingreso de trabajadores a funciones habituales, se actualizan planificaciones y turnos, se resuelven situaciones pendientes y se monitorea el clima laboral post-huelga, en caso de ser necesario y en las tiendas mas criticas se aplica protocolo de contencion, para colaboradores que estivieron en huelga, como colaboradores que no participron de huelga legal.  Se actualiza la nómina de fuero post-cierre (30 días después de la firma) y se confirma fecha de término de fuero.</t>
  </si>
  <si>
    <t>Seguimiento, Evaluación y Cierre de Ciclo</t>
  </si>
  <si>
    <t>Comunicación post-NC, seguimiento del CC, documentación y lecciones aprendidas</t>
  </si>
  <si>
    <t>Informar a la organización los resultados, verificar el cumplimiento sostenido del CC, preservar toda la documentación generada y extraer aprendizajes para preparar el próximo ciclo de negociaciones.</t>
  </si>
  <si>
    <t>Relaciones Sindicales, Comunicaciones Internas, Operación,  Gerencia de Personas, ECO</t>
  </si>
  <si>
    <t xml:space="preserve">Se elaboran comunicados de cierre, se realizan reuniones de bajada con gerentes de mercado y líderes de persona, se comunican los nuevos beneficios., se resuelven consultas de tiendas sobre aplicación de beneficios y se monitorean indicadores de clima laboral de los tiendas efectadas en proceso de huelga sobre todo,  Se realiza análisis retrospectivo (tiempos, costos, días de huelga, impacto operacional), se documentan lecciones aprendidas y se archivan en SharePoint por sindicato y año: nóminas, SSMM, estados de tiendas, CC firmados, finiquitos, actas y correspondencia con la DT. Se actualiza la estrategia de relacionamiento sindical y se prepara el escenario del próximo ciclo de NC. </t>
  </si>
  <si>
    <t>PREPARACIÓN</t>
  </si>
  <si>
    <t>NEGOCIACIÓN</t>
  </si>
  <si>
    <t>CONTINGENCIA</t>
  </si>
  <si>
    <t>CIERRE Y POST-NC</t>
  </si>
  <si>
    <t>Rut</t>
  </si>
  <si>
    <t>Nombre</t>
  </si>
  <si>
    <t>Cargo</t>
  </si>
  <si>
    <t>Equipo</t>
  </si>
  <si>
    <t>Jefatura</t>
  </si>
  <si>
    <t>Focos Especificos - Proyectos</t>
  </si>
  <si>
    <t>TOTAL HRS SEM
(no puede exceder 44 hrs)</t>
  </si>
  <si>
    <t>TOTAL FTE (no puede exceder 100%)</t>
  </si>
  <si>
    <t>Hr</t>
  </si>
  <si>
    <t>FTE</t>
  </si>
  <si>
    <t>[Nombre Proyecto] - [Negocio] - [Gerencia]</t>
  </si>
  <si>
    <t>-</t>
  </si>
  <si>
    <t>Gerente Relaciones Sindicales</t>
  </si>
  <si>
    <t>Gerente RRSS</t>
  </si>
  <si>
    <t>Relaciones Sindicales</t>
  </si>
  <si>
    <t>VP Personas</t>
  </si>
  <si>
    <t>Profesional RRSS</t>
  </si>
  <si>
    <t>Abogado RRLL</t>
  </si>
  <si>
    <t>Legal</t>
  </si>
  <si>
    <t>Analista Finanzas</t>
  </si>
  <si>
    <t>Finanzas</t>
  </si>
  <si>
    <t>Gerente Finanzas</t>
  </si>
  <si>
    <t>Profesional Comp &amp; Nómina</t>
  </si>
  <si>
    <t>Compensaciones / Nómina</t>
  </si>
  <si>
    <t>Gerente Compensaciones</t>
  </si>
  <si>
    <t>ECO - Comunicaciones Internas</t>
  </si>
  <si>
    <t>Profesional ECO</t>
  </si>
  <si>
    <t>ECO / Comunicaciones Internas</t>
  </si>
  <si>
    <t>Gerente ECO</t>
  </si>
  <si>
    <t>Gerente de Mercado</t>
  </si>
  <si>
    <t>Operación / Gerencia de Mercado</t>
  </si>
  <si>
    <t>Director Operaciones</t>
  </si>
  <si>
    <t>Líder de Persona Mercado (LPM)</t>
  </si>
  <si>
    <t>Líder de Persona Mercado</t>
  </si>
  <si>
    <t>Operación</t>
  </si>
  <si>
    <t>Gerente de Tienda</t>
  </si>
  <si>
    <t>Operación Tienda</t>
  </si>
  <si>
    <t>Líder de Persona Tienda (LPT)</t>
  </si>
  <si>
    <t>Líder de Persona Tienda</t>
  </si>
  <si>
    <t>Min</t>
  </si>
  <si>
    <t xml:space="preserve">Consideraciones: El levantamiento de perfil solo ocurre una vez, al igual que la vacante </t>
  </si>
  <si>
    <t>Max</t>
  </si>
  <si>
    <t>Consideraciones: Las horas reflejan la dedicación semanal promedio de cada rol durante la fase activa de cada etapa del proceso de NC. La suma no puede exceder 44 hrs (jornada completa).</t>
  </si>
  <si>
    <t>Mediana</t>
  </si>
  <si>
    <t>Consideraciones: Las horas reflejan la dedicación semanal promedio de cada rol durante la fase activa de cada etapa. Solo se asignan horas donde el rol es responsable según la hoja "13 etapas". Suma = 44 hrs (100% FTE).</t>
  </si>
  <si>
    <t xml:space="preserve">Lider </t>
  </si>
  <si>
    <t>Iniciativa</t>
  </si>
  <si>
    <t xml:space="preserve">Nombre </t>
  </si>
  <si>
    <t xml:space="preserve">Horas semanales </t>
  </si>
  <si>
    <t xml:space="preserve">Plazo de inicio </t>
  </si>
  <si>
    <t xml:space="preserve"> Plazo de término</t>
  </si>
  <si>
    <t xml:space="preserve">Estado </t>
  </si>
  <si>
    <t>Comentarios</t>
  </si>
  <si>
    <t xml:space="preserve">Jesu </t>
  </si>
  <si>
    <t>Proyecto</t>
  </si>
  <si>
    <t xml:space="preserve">Workshop Digital
</t>
  </si>
  <si>
    <t>Abril (Finales)</t>
  </si>
  <si>
    <t>Junio (Principios)</t>
  </si>
  <si>
    <t>En proceso</t>
  </si>
  <si>
    <t xml:space="preserve">1 reunión 
1 de planificación - revisión interna del negocio para facilitar ciertas variables que nos permitirián tener un mejor alcance a estos perfiles </t>
  </si>
  <si>
    <t>BAU</t>
  </si>
  <si>
    <t>Mesa de ME</t>
  </si>
  <si>
    <t xml:space="preserve">Febrero </t>
  </si>
  <si>
    <t xml:space="preserve">Diciembre </t>
  </si>
  <si>
    <t>En proceso (Continuo)</t>
  </si>
  <si>
    <t>1  reunión</t>
  </si>
  <si>
    <t xml:space="preserve"> Flujo devolución de 1era y 2da Línea</t>
  </si>
  <si>
    <t xml:space="preserve">Noviembre </t>
  </si>
  <si>
    <t xml:space="preserve">Marzo </t>
  </si>
  <si>
    <t>Cerrado</t>
  </si>
  <si>
    <t xml:space="preserve"> Impulsa tu futuro</t>
  </si>
  <si>
    <t xml:space="preserve">Mayo </t>
  </si>
  <si>
    <t xml:space="preserve">Agosto </t>
  </si>
  <si>
    <t xml:space="preserve">1 reunión semanal para redefinir evento como tal y estrategia de implementación con distintas áreas y llevar a cabo implementación (esto lo vemos nosotros entendiendo que es con enfoque a soporte). Si bien termina en Agosto por que es la fecha en que se da el evento debemos continuar durante los siguientes meses la contratación de los perfiles. </t>
  </si>
  <si>
    <t xml:space="preserve">Esto ya no está cerrado y debería estar en implementación versión 2. </t>
  </si>
  <si>
    <t>ODIN</t>
  </si>
  <si>
    <t xml:space="preserve">Hasta que se incorpore el reemplazo de David </t>
  </si>
  <si>
    <t>1 reunión</t>
  </si>
  <si>
    <t>Gestión de Equipo:</t>
  </si>
  <si>
    <t>Enero</t>
  </si>
  <si>
    <t xml:space="preserve">Durante todo el año </t>
  </si>
  <si>
    <t>1 reunión (reuniones con 3 analistas a cargo y practicante)
4 1:1</t>
  </si>
  <si>
    <t xml:space="preserve">Búsquedas estrategicas </t>
  </si>
  <si>
    <t>5 horas semanales por búsqueda. filtro cvs, mapeo, llamados (no externalizo los llamados, los hago yo), entrevistas de 45 minutosa 1 hora (al menos 3 candidatos a la semana) agendamiento y preparación de PPTS Ejecutivas</t>
  </si>
  <si>
    <t xml:space="preserve">8 procesos </t>
  </si>
  <si>
    <t>Capacity equipo Preparación de ampliadas
Revisión de continuidad de flujos de ferias y eventos de AT- ME</t>
  </si>
  <si>
    <t>1,2</t>
  </si>
  <si>
    <t>Capacity equipo: Análisis capacity, preparación de presentaciones para abrir conversaciones, sostener conversaciones de capacity con PBPS.
Revisión de Rendimiento / Preparación de ampliadas mensuales</t>
  </si>
  <si>
    <t xml:space="preserve">2 horas mensuales previo a la reunión por lo que lo dividi en 30 semanales para ampliada y 30 minutos semanales para seguimiento de otros procesos </t>
  </si>
  <si>
    <t>conversaciones PBP negocios cara visible</t>
  </si>
  <si>
    <t xml:space="preserve">Conversaciones sobre vacantes, complejidades en ciertas búsquedas, y Alertas sobre proyecciones de crecimiento u eficiencia del negocio. A su vez alinemiento con nuevos desafíos del negocio. </t>
  </si>
  <si>
    <t>Coni</t>
  </si>
  <si>
    <t>Mesa de Competencias</t>
  </si>
  <si>
    <t>Marzo</t>
  </si>
  <si>
    <t>Octubre (TBD según lineamientos Internacional) En otro Mercados ya llevan 6 meses.</t>
  </si>
  <si>
    <t>1 hora de mesa semanal
1 hora de preparación próxima mesa.</t>
  </si>
  <si>
    <t>Desafíate</t>
  </si>
  <si>
    <t xml:space="preserve">13 de Julio finaliza Trainee. </t>
  </si>
  <si>
    <t xml:space="preserve">1 reunión aprox
3  gestión </t>
  </si>
  <si>
    <t>Movilidad Interna</t>
  </si>
  <si>
    <t>Fines Mayo</t>
  </si>
  <si>
    <t>Fines Junio</t>
  </si>
  <si>
    <t>Recién Iniciado</t>
  </si>
  <si>
    <t>1 hora de mesa semanal.</t>
  </si>
  <si>
    <t xml:space="preserve"> Ley Protección de Datos</t>
  </si>
  <si>
    <t>Mayo</t>
  </si>
  <si>
    <t>TBD</t>
  </si>
  <si>
    <t xml:space="preserve">1 reunión </t>
  </si>
  <si>
    <t>Licitación Consultoras</t>
  </si>
  <si>
    <t>Abril</t>
  </si>
  <si>
    <t>Coordinación de reuniones, mapeo de mercado nuevas consultoras, reuniones de revisión de demos.</t>
  </si>
  <si>
    <t>Priorización Vacantes</t>
  </si>
  <si>
    <t>Transversal todo el año</t>
  </si>
  <si>
    <t xml:space="preserve"> 30 minutos de reunión
 1 hora de distribución vacantes
3 horas de gestión semanal y preparación próxima reunión. Revisión de data y SLAS para entender vacantes críticas y llegar con actualización semanal a la reunión con PBP Focal</t>
  </si>
  <si>
    <t>Búsquedas estratégicas: 3 actualmente. (2 de HM Comité Ejecutivo)</t>
  </si>
  <si>
    <t>TBD según tiempos del proceso</t>
  </si>
  <si>
    <t xml:space="preserve"> 5 horas semanales por búsqueda. filtro cvs, mapeo, llamados (no externalizo los llamados, los hago yo), entrevistas de 45 minutos (al menos 5 candidatos a la semana) agendamiento y preparación de PPTS Ejecutivas</t>
  </si>
  <si>
    <t>Gestión de Equipo</t>
  </si>
  <si>
    <t>1 reunión
3 1:1</t>
  </si>
  <si>
    <t>Capacity equipo: Análisis capacity, preparación de presentaciones para abrir conversaciones, sostener conversaciones de capacity con PBPS.</t>
  </si>
  <si>
    <t>Tranversal durante el año</t>
  </si>
  <si>
    <t>Nico</t>
  </si>
  <si>
    <t>Potencia tu Talento</t>
  </si>
  <si>
    <t>01.01.2025</t>
  </si>
  <si>
    <t>Semana 09.06.2025</t>
  </si>
  <si>
    <t>Validación Diseño</t>
  </si>
  <si>
    <t>30 minutos reu. sincronizacion 
1:30 hora reuniones de planificación
30 minutos ajuste presentaciones -
 2:00 reunion contrapartes para solicitar soluciones a flujo (Nomina, ME, Pertenencia, ETC)</t>
  </si>
  <si>
    <t>Desafiate</t>
  </si>
  <si>
    <t>Semana 02.06.2025</t>
  </si>
  <si>
    <t>Diseño de cierre</t>
  </si>
  <si>
    <t>30 minutos de reu. sync,
2 de reu planificacion
1 hora en reuniones de coordinacion intermedias
 30 minutos de reunion presentaicón
 2 horas para resolver problemas emergentes con trainees y LPTs  
30 minutos en edición de presentaciones</t>
  </si>
  <si>
    <t xml:space="preserve">Qué planifican? 
¿Qué Coordinan? 
En lo destacado en rojo no es lo mismo que hace Coni?Además las soluciones no son de diseño. Cada área debe resover en su espacio y llega a la reunión semanal con la propuesta </t>
  </si>
  <si>
    <t xml:space="preserve">Me confunde el seguimiento de desafiate 1 y el diseño de desafiate 2 </t>
  </si>
  <si>
    <t xml:space="preserve">Programa Oficios </t>
  </si>
  <si>
    <t>14.04.2025</t>
  </si>
  <si>
    <t>31.12.2025</t>
  </si>
  <si>
    <t>Implementación</t>
  </si>
  <si>
    <t>Conversación con ME y equipo AT 30 - reuniòn sync 30 minutos.</t>
  </si>
  <si>
    <t>Encuesta de salida</t>
  </si>
  <si>
    <t>12.05.2025</t>
  </si>
  <si>
    <t>Diseño|</t>
  </si>
  <si>
    <t xml:space="preserve">Revisión PPT a proponer (1hora),
Reuniones de coordinación (2 hora) 
Reunión PA (30 minutos)
Reuniòn planificaciòn ECO y AT OP, Revisión encuesta (1 hora), </t>
  </si>
  <si>
    <t xml:space="preserve">Todas las semanas revisan 1 hora la PPT a proponer?
Todas las semanas revisan la encuesta 1 hora?  </t>
  </si>
  <si>
    <t>Trainee maquinistas TPM (Plantas Productivas)</t>
  </si>
  <si>
    <t>16.06.2025</t>
  </si>
  <si>
    <t>Diseño</t>
  </si>
  <si>
    <t>2 hora levantamiento  de información (indicadores planta-  1 hora AT OP) 
 2 horas becknmark externo 
 2 horas benchmark interno
 2 horas gestacion de ideas</t>
  </si>
  <si>
    <t xml:space="preserve">Todas las semanas se hacen  4 horas de benchmark?  Cuando termina el benchmark? </t>
  </si>
  <si>
    <t>Gestiòn del día a día</t>
  </si>
  <si>
    <t>Completar</t>
  </si>
  <si>
    <t>Resto del año</t>
  </si>
  <si>
    <t>30 minutos limpieza planner
30 minutos reunión de sincronización
30 minutos envio de minutas de reunión
30 minutos envio de citas
30 minutos de actualizacion excel
1 hora reunión de equipo proyectos</t>
  </si>
  <si>
    <t>Cuáles son los equipos de proyectos con los que te reunes 1 hora?</t>
  </si>
  <si>
    <t>Procesos de selección</t>
  </si>
  <si>
    <t xml:space="preserve">15.03.2025 </t>
  </si>
  <si>
    <t>06.05.2025</t>
  </si>
  <si>
    <t>6 horas en entrevistas
1 hora externalizacion excreeings y analisis, 1 horas screenings directos
2 horasconfección informes para hiring manager</t>
  </si>
  <si>
    <t xml:space="preserve">Cuantos procesos llevas? </t>
  </si>
  <si>
    <t>Se identifican sindicatos y fechas de vencimiento de contratos colectivos, se levanta la dotación sindicalizada, se analizan convenios vigentes, se realiza costeo preliminar de beneficios y se define la estrategia negociadora junto al equipo legal y de compensaciones.</t>
  </si>
  <si>
    <t>Se recepciona la nómina de negociadores del sindicato, se valida contra los registros de SAP/sistemas internos, se identifican colaboradores con fuero, se cruza con dotación por local y se comunica a los líderes de persona en tienda para control. Se identifican trabajadores que pueden incorporarse dentro de 5 días hábiles y se genera la nómina de fuero consolidada.</t>
  </si>
  <si>
    <t>Finanzas, Compensaciones, Relaciones Sindicales</t>
  </si>
  <si>
    <t>Relaciones Sindicales, Legal, Finanzas</t>
  </si>
  <si>
    <t>Se realizan sesiones periódicas de negociación, se analizan propuestas y contrapropuestas sindicales, se levantan actas de cada reunión, se evalúan impactos económicos de las solicitudes y se coordinan respuestas con las áreas de soporte (finanzas, legal, compensaciones).</t>
  </si>
  <si>
    <t>Se consolida la última oferta considerando los acuerdos parciales alcanzados, se redacta formalmente el documento y se presenta al sindicato en los plazos legales. Se coordina el proceso de votación en los locales afectados, se monitorea el quórum legal, se reciben los resultados oficiales y se comunican internamente para activar el plan correspondiente (firma o huelga). Se informa a ECO la fecha probable de huelga si corresponde (Negociación Reglada).</t>
  </si>
  <si>
    <t>Se aplica la resolución de SSMM de Walmart: funciones limitadas a guardias de seguridad (Híper/Mayorista: 2 por turno; Express/Ekono: 1 por turno), Jefe/Encargado de perecibles, especialistas carnicero y fiambrero, y asistente de recepción. Función exclusiva: retiro de productos descompuestos. Se envía nómina a locales para que señalen quiénes del proyecto pueden cumplir SSMM (evaluando utilidad vs riesgo y grado de confianza). Se identifican finiquitados/sin relación laboral en pestaña aparte. Se notifica al sindicato y a la DT.</t>
  </si>
  <si>
    <t>Se monitorea el estado de cada tienda afectada: dotación presente, adherencia, áreas críticas. Se gestionan parámetros de dotación en BI por tribu (Líder, SBA, CM). Se coordinan equipos de apoyo entre locales y se redistribuyen colaboradores desde tiendas cercanas. Se activan procesos de contratación temporal si corresponde. Se controla el ingreso/salida de trabajadores en huelga. Se reporta diariamente el estado operacional a gerencia de mercado y operaciones (reportes tipo "Estado de Tiendas FWM", "Operación Tiendas en Huelga").</t>
  </si>
  <si>
    <t>Se redacta el texto definitivo del CC, se revisa jurídicamente cada cláusula, se firma por ambas partes y se distribuyen copias a las áreas involucradas. Se procesan renuncias voluntarias y finiquitos con resguardo de fuero, se recopila documentación de soporte y se gestionan trámites ante la Inspección del Trabajo. Se prepara y envía el CC firmado para depósito en la DT dentro del plazo legal (5 días hábiles), se obtiene constancia de registro y se archiva el comprobante.</t>
  </si>
  <si>
    <t>Materializar los compromisos del CC (beneficios, bonos, reajustes), ejecutar el pago del Bono de Término de Negociación y facilitar el retorno ordenado de los trabajadores post-huelga.</t>
  </si>
  <si>
    <t>Se parametrizan los nuevos beneficios en sistemas de nómina, se aplican reajustes salariales, se activan bonos y asignaciones, se verifican liquidaciones. Se calcula y ejecuta el pago del BTN según condiciones del CC. Se coordina el reingreso de trabajadores a funciones habituales, se actualizan planificaciones y turnos, se resuelven situaciones pendientes y se monitorea el clima laboral post-huelga. Se actualiza la nómina de fuero post-cierre (30 días después de la firma) y se confirma fecha de término de fuero.</t>
  </si>
  <si>
    <t>Relaciones Sindicales, Comunicaciones Internas, Operación, Compensaciones, Gerencia de Personas, ECO</t>
  </si>
  <si>
    <t>Se elaboran comunicados de cierre, se realizan reuniones de bajada con gerentes de mercado y líderes de persona, se comunican los nuevos beneficios y se actualizan manuales de referencia. Se realiza seguimiento periódico al cumplimiento de cláusulas, se resuelven consultas de tiendas sobre aplicación de beneficios y se monitorean indicadores de clima laboral. Se realiza análisis retrospectivo (tiempos, costos, días de huelga, impacto operacional), se documentan lecciones aprendidas y se archivan en SharePoint por sindicato y año: nóminas, SSMM, estados de tiendas, CC firmados, finiquitos, actas y correspondencia con la DT. Se actualiza la estrategia de relacionamiento sindical y se prepara el escenario del próximo ciclo de 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</si>
</sst>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b/>
      <sz val="11"/>
      <color theme="0"/>
      <name val="Aptos Narrow"/>
      <family val="2"/>
      <scheme val="minor"/>
    </font>
    <font>
      <sz val="11"/>
      <color rgb="FFFF0000"/>
      <name val="Aptos Narrow"/>
      <family val="2"/>
      <scheme val="minor"/>
    </font>
    <font>
      <sz val="11"/>
      <name val="Aptos Narrow"/>
      <family val="2"/>
      <scheme val="minor"/>
    </font>
    <font>
      <sz val="11"/>
      <color rgb="FF000000"/>
      <name val="Aptos Narrow"/>
      <family val="2"/>
    </font>
    <font>
      <b/>
      <sz val="18"/>
      <color theme="1"/>
      <name val="Aptos Narrow"/>
      <family val="2"/>
      <scheme val="minor"/>
    </font>
    <font>
      <b/>
      <sz val="13.5"/>
      <color theme="1"/>
      <name val="Aptos Narrow"/>
      <family val="2"/>
      <scheme val="minor"/>
    </font>
    <font>
      <sz val="11"/>
      <color rgb="FF000000"/>
      <name val="Aptos Narrow"/>
      <family val="2"/>
    </font>
    <font>
      <b/>
      <sz val="11"/>
      <color rgb="FF000000"/>
      <name val="Calibri"/>
      <family val="2"/>
    </font>
    <font>
      <sz val="11"/>
      <color rgb="FF000000"/>
      <name val="Calibri"/>
      <family val="2"/>
    </font>
    <font>
      <i/>
      <sz val="12"/>
      <color rgb="FF000000"/>
      <name val="Aptos Narrow"/>
      <family val="2"/>
      <scheme val="minor"/>
    </font>
    <font>
      <i/>
      <sz val="10"/>
      <color rgb="FF000000"/>
      <name val="Aptos Narrow"/>
      <family val="2"/>
      <scheme val="minor"/>
    </font>
    <font>
      <i/>
      <sz val="11"/>
      <color theme="1"/>
      <name val="Aptos Narrow"/>
      <family val="2"/>
      <scheme val="minor"/>
    </font>
    <font>
      <i/>
      <sz val="9"/>
      <color theme="1"/>
      <name val="Aptos Narrow"/>
      <family val="2"/>
      <scheme val="minor"/>
    </font>
    <font>
      <b/>
      <sz val="12"/>
      <color rgb="FF000000"/>
      <name val="Aptos Narrow"/>
      <family val="2"/>
      <scheme val="minor"/>
    </font>
    <font>
      <sz val="10"/>
      <color theme="1"/>
      <name val="Aptos Narrow"/>
      <family val="2"/>
      <scheme val="minor"/>
    </font>
    <font>
      <b/>
      <sz val="11"/>
      <color theme="1"/>
      <name val="Calibri"/>
      <family val="2"/>
    </font>
    <font>
      <sz val="11"/>
      <color theme="1"/>
      <name val="Calibri"/>
      <family val="2"/>
    </font>
    <font>
      <b/>
      <sz val="11"/>
      <name val="Aptos Narrow"/>
      <family val="2"/>
    </font>
  </fonts>
  <fills count="14">
    <fill>
      <patternFill patternType="none"/>
    </fill>
    <fill>
      <patternFill patternType="gray125"/>
    </fill>
    <fill>
      <patternFill patternType="solid">
        <fgColor theme="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4" tint="0.79998168889431442"/>
        <bgColor indexed="64"/>
      </patternFill>
    </fill>
  </fills>
  <borders count="2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dotted">
        <color rgb="FF000000"/>
      </right>
      <top style="thin">
        <color rgb="FF000000"/>
      </top>
      <bottom style="dotted">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dotted">
        <color rgb="FF000000"/>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n">
        <color rgb="FF000000"/>
      </top>
      <bottom style="dotted">
        <color rgb="FF000000"/>
      </bottom>
      <diagonal/>
    </border>
  </borders>
  <cellStyleXfs count="1">
    <xf numFmtId="0" fontId="0" fillId="0" borderId="0"/>
  </cellStyleXfs>
  <cellXfs count="114">
    <xf numFmtId="0" fontId="0" fillId="0" borderId="0" xfId="0"/>
    <xf numFmtId="0" fontId="2" fillId="2" borderId="1" xfId="0" applyFont="1" applyFill="1" applyBorder="1" applyAlignment="1">
      <alignment horizontal="center"/>
    </xf>
    <xf numFmtId="0" fontId="1" fillId="0" borderId="0" xfId="0" applyFont="1"/>
    <xf numFmtId="9" fontId="0" fillId="0" borderId="0" xfId="0" applyNumberFormat="1"/>
    <xf numFmtId="0" fontId="0" fillId="0" borderId="0" xfId="0" applyAlignment="1">
      <alignment vertical="top"/>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8" borderId="3" xfId="0" applyFill="1" applyBorder="1" applyAlignment="1">
      <alignment horizontal="center" vertical="center" wrapText="1"/>
    </xf>
    <xf numFmtId="0" fontId="0" fillId="6" borderId="3" xfId="0"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6" borderId="5" xfId="0" applyFill="1" applyBorder="1" applyAlignment="1">
      <alignment vertical="center" wrapText="1"/>
    </xf>
    <xf numFmtId="0" fontId="0" fillId="9" borderId="3" xfId="0" applyFill="1" applyBorder="1" applyAlignment="1">
      <alignment horizontal="center" vertical="center" wrapText="1"/>
    </xf>
    <xf numFmtId="0" fontId="4" fillId="0" borderId="3" xfId="0" applyFont="1" applyBorder="1" applyAlignment="1">
      <alignment horizontal="center" vertical="center" wrapText="1"/>
    </xf>
    <xf numFmtId="0" fontId="5" fillId="0" borderId="5" xfId="0" applyFont="1" applyBorder="1" applyAlignment="1">
      <alignment wrapText="1"/>
    </xf>
    <xf numFmtId="0" fontId="5" fillId="0" borderId="0" xfId="0" applyFont="1" applyAlignment="1">
      <alignment wrapText="1"/>
    </xf>
    <xf numFmtId="0" fontId="3" fillId="0" borderId="5" xfId="0" applyFont="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6" fillId="9" borderId="0" xfId="0" applyFont="1" applyFill="1"/>
    <xf numFmtId="0" fontId="0" fillId="9" borderId="0" xfId="0" applyFill="1"/>
    <xf numFmtId="0" fontId="7" fillId="9" borderId="0" xfId="0" applyFont="1" applyFill="1"/>
    <xf numFmtId="0" fontId="8" fillId="9" borderId="0" xfId="0" applyFont="1" applyFill="1"/>
    <xf numFmtId="0" fontId="0" fillId="0" borderId="0" xfId="0" applyAlignment="1">
      <alignment horizontal="left" vertical="top"/>
    </xf>
    <xf numFmtId="0" fontId="1" fillId="0" borderId="0" xfId="0" applyFont="1" applyAlignment="1">
      <alignment horizontal="center"/>
    </xf>
    <xf numFmtId="0" fontId="2" fillId="2" borderId="2" xfId="0" applyFont="1" applyFill="1" applyBorder="1" applyAlignment="1">
      <alignment horizontal="center"/>
    </xf>
    <xf numFmtId="0" fontId="11" fillId="10" borderId="10"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11" borderId="10"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4" fillId="12" borderId="1" xfId="0" applyFont="1" applyFill="1" applyBorder="1"/>
    <xf numFmtId="2" fontId="14" fillId="12" borderId="10" xfId="0" applyNumberFormat="1" applyFont="1" applyFill="1" applyBorder="1"/>
    <xf numFmtId="9" fontId="14" fillId="12" borderId="10" xfId="0" applyNumberFormat="1" applyFont="1" applyFill="1" applyBorder="1"/>
    <xf numFmtId="0" fontId="14" fillId="12" borderId="0" xfId="0" applyFont="1" applyFill="1"/>
    <xf numFmtId="0" fontId="1" fillId="9" borderId="0" xfId="0" applyFont="1" applyFill="1"/>
    <xf numFmtId="0" fontId="1" fillId="0" borderId="0" xfId="0" applyFont="1" applyAlignment="1">
      <alignment horizontal="right"/>
    </xf>
    <xf numFmtId="2" fontId="1" fillId="0" borderId="0" xfId="0" applyNumberFormat="1" applyFont="1"/>
    <xf numFmtId="0" fontId="1" fillId="0" borderId="3" xfId="0" applyFont="1" applyBorder="1" applyAlignment="1">
      <alignment horizontal="center" vertical="center" wrapText="1"/>
    </xf>
    <xf numFmtId="0" fontId="10" fillId="13" borderId="5" xfId="0" applyFont="1" applyFill="1" applyBorder="1" applyAlignment="1">
      <alignment horizontal="left" vertical="top" wrapText="1"/>
    </xf>
    <xf numFmtId="0" fontId="0" fillId="0" borderId="0" xfId="0" applyAlignment="1">
      <alignment horizontal="center" vertical="center"/>
    </xf>
    <xf numFmtId="0" fontId="0" fillId="9" borderId="0" xfId="0" applyFill="1" applyAlignment="1">
      <alignment horizontal="left" vertical="top"/>
    </xf>
    <xf numFmtId="0" fontId="0" fillId="13" borderId="5" xfId="0" applyFill="1" applyBorder="1" applyAlignment="1">
      <alignment horizontal="left" vertical="top" wrapText="1"/>
    </xf>
    <xf numFmtId="0" fontId="10" fillId="13" borderId="5" xfId="0" applyFont="1" applyFill="1" applyBorder="1" applyAlignment="1">
      <alignment horizontal="center" vertical="top" wrapText="1"/>
    </xf>
    <xf numFmtId="0" fontId="0" fillId="0" borderId="0" xfId="0" applyAlignment="1">
      <alignment horizontal="center" vertical="top"/>
    </xf>
    <xf numFmtId="0" fontId="10" fillId="13" borderId="5" xfId="0" applyFont="1" applyFill="1" applyBorder="1" applyAlignment="1">
      <alignment vertical="top" wrapText="1"/>
    </xf>
    <xf numFmtId="2" fontId="0" fillId="0" borderId="10" xfId="0" applyNumberFormat="1" applyBorder="1" applyAlignment="1">
      <alignment vertical="top"/>
    </xf>
    <xf numFmtId="9" fontId="0" fillId="0" borderId="0" xfId="0" applyNumberFormat="1" applyAlignment="1">
      <alignment horizontal="center"/>
    </xf>
    <xf numFmtId="9" fontId="14" fillId="12" borderId="10" xfId="0" applyNumberFormat="1" applyFont="1" applyFill="1" applyBorder="1" applyAlignment="1">
      <alignment horizontal="center"/>
    </xf>
    <xf numFmtId="9" fontId="1" fillId="0" borderId="0" xfId="0" applyNumberFormat="1" applyFont="1" applyAlignment="1">
      <alignment horizontal="center"/>
    </xf>
    <xf numFmtId="0" fontId="0" fillId="0" borderId="0" xfId="0" applyAlignment="1">
      <alignment horizontal="center"/>
    </xf>
    <xf numFmtId="2" fontId="14" fillId="12" borderId="10" xfId="0" applyNumberFormat="1" applyFont="1" applyFill="1" applyBorder="1" applyAlignment="1">
      <alignment horizontal="center"/>
    </xf>
    <xf numFmtId="0" fontId="9" fillId="0" borderId="15" xfId="0" applyFont="1" applyBorder="1" applyAlignment="1">
      <alignment horizontal="left" vertical="top" wrapText="1"/>
    </xf>
    <xf numFmtId="0" fontId="9" fillId="0" borderId="15" xfId="0" applyFont="1" applyBorder="1" applyAlignment="1">
      <alignment horizontal="center" vertical="top" wrapText="1"/>
    </xf>
    <xf numFmtId="0" fontId="0" fillId="0" borderId="1" xfId="0" applyBorder="1" applyAlignment="1">
      <alignment vertical="top"/>
    </xf>
    <xf numFmtId="0" fontId="0" fillId="0" borderId="2" xfId="0" applyBorder="1" applyAlignment="1">
      <alignment vertical="top"/>
    </xf>
    <xf numFmtId="9" fontId="14" fillId="12" borderId="10" xfId="0" applyNumberFormat="1" applyFont="1" applyFill="1" applyBorder="1" applyAlignment="1">
      <alignment vertical="top"/>
    </xf>
    <xf numFmtId="0" fontId="10" fillId="13" borderId="15" xfId="0" applyFont="1" applyFill="1" applyBorder="1" applyAlignment="1">
      <alignment horizontal="center" vertical="top" wrapText="1"/>
    </xf>
    <xf numFmtId="0" fontId="10" fillId="13" borderId="15" xfId="0" applyFont="1" applyFill="1" applyBorder="1" applyAlignment="1">
      <alignment horizontal="left" vertical="top" wrapText="1"/>
    </xf>
    <xf numFmtId="0" fontId="10" fillId="13" borderId="15" xfId="0" applyFont="1" applyFill="1" applyBorder="1" applyAlignment="1">
      <alignment vertical="top" wrapText="1"/>
    </xf>
    <xf numFmtId="0" fontId="0" fillId="13" borderId="15" xfId="0" applyFill="1" applyBorder="1" applyAlignment="1">
      <alignment horizontal="left" vertical="top" wrapText="1"/>
    </xf>
    <xf numFmtId="0" fontId="10" fillId="13" borderId="16" xfId="0" applyFont="1" applyFill="1" applyBorder="1" applyAlignment="1">
      <alignment horizontal="center" vertical="top" wrapText="1"/>
    </xf>
    <xf numFmtId="2" fontId="14" fillId="12" borderId="0" xfId="0" applyNumberFormat="1" applyFont="1" applyFill="1"/>
    <xf numFmtId="9" fontId="14" fillId="12" borderId="13" xfId="0" applyNumberFormat="1" applyFont="1" applyFill="1" applyBorder="1"/>
    <xf numFmtId="9" fontId="0" fillId="0" borderId="0" xfId="0" applyNumberFormat="1" applyAlignment="1">
      <alignment horizontal="center" vertical="center"/>
    </xf>
    <xf numFmtId="2" fontId="14" fillId="0" borderId="10" xfId="0" applyNumberFormat="1" applyFont="1" applyBorder="1" applyAlignment="1">
      <alignment vertical="top" wrapText="1"/>
    </xf>
    <xf numFmtId="0" fontId="16" fillId="0" borderId="0" xfId="0" applyFont="1" applyAlignment="1">
      <alignment horizontal="left" vertical="top"/>
    </xf>
    <xf numFmtId="9" fontId="16" fillId="0" borderId="0" xfId="0" applyNumberFormat="1" applyFont="1" applyAlignment="1">
      <alignment horizontal="left" vertical="top"/>
    </xf>
    <xf numFmtId="0" fontId="16" fillId="0" borderId="0" xfId="0" applyFont="1"/>
    <xf numFmtId="0" fontId="10" fillId="13" borderId="17" xfId="0" applyFont="1" applyFill="1" applyBorder="1" applyAlignment="1">
      <alignment horizontal="left" vertical="top" wrapText="1"/>
    </xf>
    <xf numFmtId="0" fontId="0" fillId="13" borderId="5" xfId="0" applyFill="1" applyBorder="1" applyAlignment="1">
      <alignment horizontal="center" vertical="center"/>
    </xf>
    <xf numFmtId="0" fontId="0" fillId="13" borderId="5" xfId="0" applyFill="1" applyBorder="1" applyAlignment="1">
      <alignment vertical="top"/>
    </xf>
    <xf numFmtId="0" fontId="0" fillId="0" borderId="0" xfId="0" applyAlignment="1">
      <alignment horizontal="left" vertical="center"/>
    </xf>
    <xf numFmtId="0" fontId="10" fillId="13" borderId="17" xfId="0" applyFont="1" applyFill="1" applyBorder="1" applyAlignment="1">
      <alignment vertical="top" wrapText="1"/>
    </xf>
    <xf numFmtId="0" fontId="10" fillId="13" borderId="3" xfId="0" applyFont="1" applyFill="1" applyBorder="1" applyAlignment="1">
      <alignment horizontal="center" vertical="top" wrapText="1"/>
    </xf>
    <xf numFmtId="0" fontId="10" fillId="13" borderId="3" xfId="0" applyFont="1" applyFill="1" applyBorder="1" applyAlignment="1">
      <alignment vertical="top" wrapText="1"/>
    </xf>
    <xf numFmtId="0" fontId="10" fillId="13" borderId="21" xfId="0" applyFont="1" applyFill="1" applyBorder="1" applyAlignment="1">
      <alignment vertical="top" wrapText="1"/>
    </xf>
    <xf numFmtId="0" fontId="10" fillId="13" borderId="22" xfId="0" applyFont="1" applyFill="1" applyBorder="1" applyAlignment="1">
      <alignment horizontal="center" vertical="top" wrapText="1"/>
    </xf>
    <xf numFmtId="0" fontId="0" fillId="13" borderId="5" xfId="0" applyFill="1" applyBorder="1" applyAlignment="1">
      <alignment horizontal="center" vertical="top" wrapText="1"/>
    </xf>
    <xf numFmtId="0" fontId="9" fillId="13" borderId="5" xfId="0" applyFont="1" applyFill="1" applyBorder="1" applyAlignment="1">
      <alignment horizontal="left" vertical="top" wrapText="1"/>
    </xf>
    <xf numFmtId="0" fontId="9" fillId="13" borderId="15" xfId="0" applyFont="1" applyFill="1" applyBorder="1" applyAlignment="1">
      <alignment horizontal="left" vertical="top" wrapText="1"/>
    </xf>
    <xf numFmtId="0" fontId="9" fillId="13" borderId="19" xfId="0" applyFont="1" applyFill="1" applyBorder="1" applyAlignment="1">
      <alignment horizontal="left" vertical="top" wrapText="1"/>
    </xf>
    <xf numFmtId="0" fontId="9" fillId="13" borderId="20" xfId="0" applyFont="1" applyFill="1" applyBorder="1" applyAlignment="1">
      <alignment horizontal="left" vertical="top" wrapText="1"/>
    </xf>
    <xf numFmtId="0" fontId="17" fillId="13" borderId="5" xfId="0" applyFont="1" applyFill="1" applyBorder="1" applyAlignment="1">
      <alignment horizontal="left" vertical="top" wrapText="1"/>
    </xf>
    <xf numFmtId="0" fontId="17" fillId="13" borderId="15" xfId="0" applyFont="1" applyFill="1" applyBorder="1" applyAlignment="1">
      <alignment horizontal="left" vertical="top" wrapText="1"/>
    </xf>
    <xf numFmtId="0" fontId="17" fillId="13" borderId="5" xfId="0" applyFont="1" applyFill="1" applyBorder="1" applyAlignment="1">
      <alignment horizontal="left" vertical="top"/>
    </xf>
    <xf numFmtId="0" fontId="18" fillId="0" borderId="0" xfId="0" applyFont="1" applyAlignment="1">
      <alignment horizontal="left" vertical="top"/>
    </xf>
    <xf numFmtId="0" fontId="17" fillId="13" borderId="3" xfId="0" applyFont="1" applyFill="1" applyBorder="1" applyAlignment="1">
      <alignment vertical="top" wrapText="1"/>
    </xf>
    <xf numFmtId="0" fontId="0" fillId="13" borderId="0" xfId="0" applyFill="1" applyAlignment="1">
      <alignment horizontal="left" vertical="top" wrapText="1"/>
    </xf>
    <xf numFmtId="0" fontId="0" fillId="13" borderId="3" xfId="0" applyFill="1" applyBorder="1" applyAlignment="1">
      <alignment vertical="top"/>
    </xf>
    <xf numFmtId="0" fontId="19" fillId="0" borderId="0" xfId="0" applyFont="1"/>
    <xf numFmtId="0" fontId="13" fillId="13" borderId="10" xfId="0" applyFont="1" applyFill="1" applyBorder="1" applyAlignment="1">
      <alignment vertical="top" wrapText="1"/>
    </xf>
    <xf numFmtId="0" fontId="16" fillId="0" borderId="5" xfId="0" applyFont="1" applyBorder="1" applyAlignment="1">
      <alignment horizontal="left" vertical="top"/>
    </xf>
    <xf numFmtId="0" fontId="16" fillId="0" borderId="5" xfId="0" applyFont="1" applyBorder="1" applyAlignment="1">
      <alignment horizontal="left" vertical="top" wrapText="1"/>
    </xf>
    <xf numFmtId="0" fontId="0" fillId="9" borderId="5" xfId="0" applyFill="1" applyBorder="1" applyAlignment="1">
      <alignment horizontal="center" vertical="center"/>
    </xf>
    <xf numFmtId="0" fontId="0" fillId="0" borderId="5" xfId="0" applyBorder="1" applyAlignment="1">
      <alignment horizontal="center" vertical="center"/>
    </xf>
    <xf numFmtId="0" fontId="0" fillId="9" borderId="5" xfId="0" applyFill="1" applyBorder="1" applyAlignment="1">
      <alignment horizontal="center" vertical="center" wrapText="1"/>
    </xf>
    <xf numFmtId="0" fontId="11" fillId="3" borderId="14" xfId="0" applyFont="1" applyFill="1" applyBorder="1" applyAlignment="1">
      <alignment horizontal="center" textRotation="90" wrapText="1"/>
    </xf>
    <xf numFmtId="0" fontId="0" fillId="0" borderId="24" xfId="0" applyBorder="1"/>
    <xf numFmtId="0" fontId="1" fillId="0" borderId="0" xfId="0" applyFont="1" applyAlignment="1">
      <alignment horizontal="center"/>
    </xf>
    <xf numFmtId="0" fontId="0" fillId="0" borderId="0" xfId="0"/>
    <xf numFmtId="0" fontId="15" fillId="5" borderId="10" xfId="0" applyFont="1" applyFill="1" applyBorder="1" applyAlignment="1">
      <alignment horizontal="center" vertical="center" wrapText="1"/>
    </xf>
    <xf numFmtId="0" fontId="0" fillId="0" borderId="14" xfId="0" applyBorder="1"/>
    <xf numFmtId="0" fontId="11" fillId="3" borderId="10" xfId="0" applyFont="1" applyFill="1" applyBorder="1" applyAlignment="1">
      <alignment horizontal="center" textRotation="90" wrapText="1"/>
    </xf>
    <xf numFmtId="0" fontId="0" fillId="0" borderId="23" xfId="0" applyBorder="1"/>
    <xf numFmtId="9" fontId="15" fillId="5" borderId="10" xfId="0" applyNumberFormat="1" applyFont="1" applyFill="1" applyBorder="1" applyAlignment="1">
      <alignment horizontal="center" vertical="center" wrapText="1"/>
    </xf>
    <xf numFmtId="0" fontId="11" fillId="4" borderId="11" xfId="0" applyFont="1" applyFill="1" applyBorder="1" applyAlignment="1">
      <alignment horizontal="center" textRotation="90" wrapText="1"/>
    </xf>
    <xf numFmtId="0" fontId="0" fillId="0" borderId="12" xfId="0" applyBorder="1"/>
    <xf numFmtId="0" fontId="11" fillId="3" borderId="25" xfId="0" applyFont="1" applyFill="1" applyBorder="1" applyAlignment="1">
      <alignment horizontal="center" textRotation="90" wrapText="1"/>
    </xf>
    <xf numFmtId="0" fontId="0" fillId="0" borderId="18"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249977111117893"/>
  </sheetPr>
  <dimension ref="A1:C41"/>
  <sheetViews>
    <sheetView topLeftCell="A16" workbookViewId="0">
      <selection activeCell="C43" sqref="C43"/>
    </sheetView>
  </sheetViews>
  <sheetFormatPr baseColWidth="10" defaultColWidth="9.1796875" defaultRowHeight="14.5" x14ac:dyDescent="0.35"/>
  <cols>
    <col min="1" max="1" width="13.81640625" style="25" customWidth="1"/>
    <col min="2" max="2" width="20" style="25" customWidth="1"/>
    <col min="3" max="3" width="32.453125" style="25" customWidth="1"/>
    <col min="4" max="6" width="15.81640625" style="25" customWidth="1"/>
    <col min="7" max="12" width="9.1796875" style="25" customWidth="1"/>
    <col min="13" max="16384" width="9.1796875" style="25"/>
  </cols>
  <sheetData>
    <row r="1" spans="1:2" ht="23.5" customHeight="1" x14ac:dyDescent="0.55000000000000004">
      <c r="A1" s="24" t="s">
        <v>0</v>
      </c>
    </row>
    <row r="2" spans="1:2" ht="23.5" customHeight="1" x14ac:dyDescent="0.55000000000000004">
      <c r="A2" s="24"/>
    </row>
    <row r="3" spans="1:2" ht="17.5" customHeight="1" x14ac:dyDescent="0.4">
      <c r="A3" s="26" t="s">
        <v>1</v>
      </c>
    </row>
    <row r="4" spans="1:2" x14ac:dyDescent="0.35">
      <c r="A4" s="25" t="s">
        <v>2</v>
      </c>
    </row>
    <row r="5" spans="1:2" ht="17.5" customHeight="1" x14ac:dyDescent="0.4">
      <c r="A5" s="26" t="s">
        <v>3</v>
      </c>
    </row>
    <row r="6" spans="1:2" x14ac:dyDescent="0.35">
      <c r="A6" s="25" t="s">
        <v>4</v>
      </c>
    </row>
    <row r="7" spans="1:2" x14ac:dyDescent="0.35">
      <c r="A7" s="25" t="s">
        <v>5</v>
      </c>
    </row>
    <row r="8" spans="1:2" ht="17.5" customHeight="1" x14ac:dyDescent="0.4">
      <c r="A8" s="26" t="s">
        <v>6</v>
      </c>
    </row>
    <row r="9" spans="1:2" x14ac:dyDescent="0.35">
      <c r="A9" s="25" t="s">
        <v>7</v>
      </c>
    </row>
    <row r="10" spans="1:2" x14ac:dyDescent="0.35">
      <c r="A10" s="25" t="s">
        <v>8</v>
      </c>
    </row>
    <row r="11" spans="1:2" x14ac:dyDescent="0.35">
      <c r="A11" s="25">
        <v>1</v>
      </c>
      <c r="B11" s="25" t="s">
        <v>9</v>
      </c>
    </row>
    <row r="12" spans="1:2" x14ac:dyDescent="0.35">
      <c r="A12" s="25">
        <v>2</v>
      </c>
      <c r="B12" s="25" t="s">
        <v>10</v>
      </c>
    </row>
    <row r="13" spans="1:2" x14ac:dyDescent="0.35">
      <c r="A13" s="25">
        <v>3</v>
      </c>
      <c r="B13" s="25" t="s">
        <v>11</v>
      </c>
    </row>
    <row r="14" spans="1:2" x14ac:dyDescent="0.35">
      <c r="A14" s="25">
        <v>4</v>
      </c>
      <c r="B14" s="25" t="s">
        <v>12</v>
      </c>
    </row>
    <row r="15" spans="1:2" x14ac:dyDescent="0.35">
      <c r="A15" s="25">
        <v>5</v>
      </c>
      <c r="B15" s="25" t="s">
        <v>13</v>
      </c>
    </row>
    <row r="16" spans="1:2" x14ac:dyDescent="0.35">
      <c r="A16" s="25">
        <v>6</v>
      </c>
      <c r="B16" s="25" t="s">
        <v>14</v>
      </c>
    </row>
    <row r="17" spans="1:3" x14ac:dyDescent="0.35">
      <c r="A17" s="25" t="s">
        <v>15</v>
      </c>
    </row>
    <row r="18" spans="1:3" ht="17.5" customHeight="1" x14ac:dyDescent="0.4">
      <c r="A18" s="26" t="s">
        <v>16</v>
      </c>
    </row>
    <row r="19" spans="1:3" x14ac:dyDescent="0.35">
      <c r="A19" s="39" t="s">
        <v>17</v>
      </c>
      <c r="B19" s="39" t="s">
        <v>18</v>
      </c>
      <c r="C19" s="39" t="s">
        <v>19</v>
      </c>
    </row>
    <row r="20" spans="1:3" x14ac:dyDescent="0.35">
      <c r="A20" s="25" t="s">
        <v>11</v>
      </c>
      <c r="B20" s="25" t="s">
        <v>20</v>
      </c>
      <c r="C20" s="25" t="s">
        <v>21</v>
      </c>
    </row>
    <row r="21" spans="1:3" ht="17.5" customHeight="1" x14ac:dyDescent="0.4">
      <c r="A21" s="26" t="s">
        <v>22</v>
      </c>
    </row>
    <row r="22" spans="1:3" x14ac:dyDescent="0.35">
      <c r="A22" s="25" t="s">
        <v>23</v>
      </c>
    </row>
    <row r="23" spans="1:3" x14ac:dyDescent="0.35">
      <c r="A23" s="25" t="s">
        <v>8</v>
      </c>
    </row>
    <row r="24" spans="1:3" x14ac:dyDescent="0.35">
      <c r="A24" s="25" t="s">
        <v>24</v>
      </c>
    </row>
    <row r="25" spans="1:3" x14ac:dyDescent="0.35">
      <c r="A25" s="25" t="s">
        <v>25</v>
      </c>
    </row>
    <row r="26" spans="1:3" x14ac:dyDescent="0.35">
      <c r="A26" s="25" t="s">
        <v>26</v>
      </c>
    </row>
    <row r="27" spans="1:3" x14ac:dyDescent="0.35">
      <c r="A27" s="39" t="s">
        <v>27</v>
      </c>
    </row>
    <row r="28" spans="1:3" x14ac:dyDescent="0.35">
      <c r="A28" s="25" t="s">
        <v>28</v>
      </c>
    </row>
    <row r="29" spans="1:3" ht="17.5" customHeight="1" x14ac:dyDescent="0.4">
      <c r="A29" s="26" t="s">
        <v>29</v>
      </c>
    </row>
    <row r="30" spans="1:3" x14ac:dyDescent="0.35">
      <c r="A30" s="27" t="s">
        <v>30</v>
      </c>
    </row>
    <row r="31" spans="1:3" x14ac:dyDescent="0.35">
      <c r="A31" s="39" t="s">
        <v>31</v>
      </c>
    </row>
    <row r="32" spans="1:3" x14ac:dyDescent="0.35">
      <c r="A32" s="25" t="s">
        <v>32</v>
      </c>
    </row>
    <row r="33" spans="1:1" x14ac:dyDescent="0.35">
      <c r="A33" s="25" t="s">
        <v>8</v>
      </c>
    </row>
    <row r="34" spans="1:1" x14ac:dyDescent="0.35">
      <c r="A34" s="27" t="s">
        <v>33</v>
      </c>
    </row>
    <row r="35" spans="1:1" x14ac:dyDescent="0.35">
      <c r="A35" s="25" t="s">
        <v>34</v>
      </c>
    </row>
    <row r="36" spans="1:1" ht="17.5" customHeight="1" x14ac:dyDescent="0.4">
      <c r="A36" s="26" t="s">
        <v>35</v>
      </c>
    </row>
    <row r="37" spans="1:1" x14ac:dyDescent="0.35">
      <c r="A37" s="25" t="s">
        <v>36</v>
      </c>
    </row>
    <row r="38" spans="1:1" x14ac:dyDescent="0.35">
      <c r="A38" s="25" t="s">
        <v>37</v>
      </c>
    </row>
    <row r="39" spans="1:1" x14ac:dyDescent="0.35">
      <c r="A39" s="25" t="s">
        <v>38</v>
      </c>
    </row>
    <row r="41" spans="1:1" ht="17.5" customHeight="1" x14ac:dyDescent="0.4">
      <c r="A41"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G25"/>
  <sheetViews>
    <sheetView showGridLines="0" tabSelected="1" topLeftCell="A9" zoomScale="60" zoomScaleNormal="60" workbookViewId="0">
      <selection activeCell="O12" sqref="O12"/>
    </sheetView>
  </sheetViews>
  <sheetFormatPr baseColWidth="10" defaultColWidth="9.1796875" defaultRowHeight="15" customHeight="1" x14ac:dyDescent="0.35"/>
  <cols>
    <col min="1" max="1" width="9.1796875" style="76" customWidth="1"/>
    <col min="2" max="2" width="14.54296875" style="44" customWidth="1"/>
    <col min="3" max="5" width="36.1796875" style="28" customWidth="1"/>
    <col min="6" max="6" width="22.54296875" style="48" bestFit="1" customWidth="1"/>
    <col min="7" max="7" width="36.1796875" style="28" customWidth="1"/>
    <col min="8" max="13" width="9.1796875" style="28" customWidth="1"/>
    <col min="14" max="16384" width="9.1796875" style="28"/>
  </cols>
  <sheetData>
    <row r="1" spans="1:7" ht="14.5" customHeight="1" x14ac:dyDescent="0.35">
      <c r="A1" s="56" t="s">
        <v>39</v>
      </c>
      <c r="B1" s="56" t="s">
        <v>40</v>
      </c>
      <c r="C1" s="56" t="s">
        <v>41</v>
      </c>
      <c r="D1" s="56" t="s">
        <v>42</v>
      </c>
      <c r="E1" s="56" t="s">
        <v>43</v>
      </c>
      <c r="F1" s="57" t="s">
        <v>44</v>
      </c>
      <c r="G1" s="56" t="s">
        <v>45</v>
      </c>
    </row>
    <row r="2" spans="1:7" ht="101.5" customHeight="1" x14ac:dyDescent="0.35">
      <c r="A2" s="43">
        <v>1</v>
      </c>
      <c r="B2" s="43"/>
      <c r="C2" s="43" t="s">
        <v>46</v>
      </c>
      <c r="D2" s="83" t="s">
        <v>47</v>
      </c>
      <c r="E2" s="43" t="s">
        <v>48</v>
      </c>
      <c r="F2" s="47" t="s">
        <v>49</v>
      </c>
      <c r="G2" s="43" t="s">
        <v>50</v>
      </c>
    </row>
    <row r="3" spans="1:7" ht="87" customHeight="1" x14ac:dyDescent="0.35">
      <c r="A3" s="43">
        <v>2</v>
      </c>
      <c r="B3" s="62"/>
      <c r="C3" s="62" t="s">
        <v>51</v>
      </c>
      <c r="D3" s="84" t="s">
        <v>52</v>
      </c>
      <c r="E3" s="43" t="s">
        <v>53</v>
      </c>
      <c r="F3" s="47" t="s">
        <v>54</v>
      </c>
      <c r="G3" s="43" t="s">
        <v>55</v>
      </c>
    </row>
    <row r="4" spans="1:7" ht="87" customHeight="1" x14ac:dyDescent="0.35">
      <c r="A4" s="43">
        <v>3</v>
      </c>
      <c r="B4" s="78"/>
      <c r="C4" s="93" t="s">
        <v>56</v>
      </c>
      <c r="D4" s="91" t="s">
        <v>57</v>
      </c>
      <c r="E4" s="92" t="s">
        <v>58</v>
      </c>
      <c r="F4" s="47" t="s">
        <v>59</v>
      </c>
      <c r="G4" s="43" t="s">
        <v>60</v>
      </c>
    </row>
    <row r="5" spans="1:7" ht="72.5" customHeight="1" x14ac:dyDescent="0.35">
      <c r="A5" s="43">
        <v>4</v>
      </c>
      <c r="B5" s="78"/>
      <c r="C5" s="79" t="s">
        <v>61</v>
      </c>
      <c r="D5" s="85" t="s">
        <v>62</v>
      </c>
      <c r="E5" s="43" t="s">
        <v>63</v>
      </c>
      <c r="F5" s="47" t="s">
        <v>64</v>
      </c>
      <c r="G5" s="43" t="s">
        <v>65</v>
      </c>
    </row>
    <row r="6" spans="1:7" ht="87" customHeight="1" x14ac:dyDescent="0.35">
      <c r="A6" s="43">
        <v>5</v>
      </c>
      <c r="B6" s="65"/>
      <c r="C6" s="77" t="s">
        <v>66</v>
      </c>
      <c r="D6" s="83" t="s">
        <v>67</v>
      </c>
      <c r="E6" s="95" t="s">
        <v>68</v>
      </c>
      <c r="F6" s="47" t="s">
        <v>69</v>
      </c>
      <c r="G6" s="43" t="s">
        <v>70</v>
      </c>
    </row>
    <row r="7" spans="1:7" ht="116" customHeight="1" x14ac:dyDescent="0.35">
      <c r="A7" s="43">
        <v>6</v>
      </c>
      <c r="B7" s="78"/>
      <c r="C7" s="80" t="s">
        <v>71</v>
      </c>
      <c r="D7" s="83" t="s">
        <v>72</v>
      </c>
      <c r="E7" s="43" t="s">
        <v>73</v>
      </c>
      <c r="F7" s="47" t="s">
        <v>49</v>
      </c>
      <c r="G7" s="43" t="s">
        <v>74</v>
      </c>
    </row>
    <row r="8" spans="1:7" ht="101.5" customHeight="1" x14ac:dyDescent="0.35">
      <c r="A8" s="43">
        <v>7</v>
      </c>
      <c r="B8" s="81"/>
      <c r="C8" s="79" t="s">
        <v>75</v>
      </c>
      <c r="D8" s="86" t="s">
        <v>76</v>
      </c>
      <c r="E8" s="95" t="s">
        <v>77</v>
      </c>
      <c r="F8" s="47" t="s">
        <v>78</v>
      </c>
      <c r="G8" s="43" t="s">
        <v>79</v>
      </c>
    </row>
    <row r="9" spans="1:7" ht="93" customHeight="1" x14ac:dyDescent="0.35">
      <c r="A9" s="43">
        <v>8</v>
      </c>
      <c r="B9" s="43"/>
      <c r="C9" s="73" t="s">
        <v>80</v>
      </c>
      <c r="D9" s="83" t="s">
        <v>81</v>
      </c>
      <c r="E9" s="43" t="s">
        <v>82</v>
      </c>
      <c r="F9" s="47" t="s">
        <v>83</v>
      </c>
      <c r="G9" s="43" t="s">
        <v>84</v>
      </c>
    </row>
    <row r="10" spans="1:7" ht="103.5" customHeight="1" x14ac:dyDescent="0.35">
      <c r="A10" s="43">
        <v>9</v>
      </c>
      <c r="B10" s="43"/>
      <c r="C10" s="43" t="s">
        <v>85</v>
      </c>
      <c r="D10" s="83" t="s">
        <v>86</v>
      </c>
      <c r="E10" s="43" t="s">
        <v>87</v>
      </c>
      <c r="F10" s="47" t="s">
        <v>88</v>
      </c>
      <c r="G10" s="43" t="s">
        <v>89</v>
      </c>
    </row>
    <row r="11" spans="1:7" ht="103.5" customHeight="1" x14ac:dyDescent="0.35">
      <c r="A11" s="43">
        <v>10</v>
      </c>
      <c r="B11" s="43"/>
      <c r="C11" s="49" t="s">
        <v>90</v>
      </c>
      <c r="D11" s="83" t="s">
        <v>91</v>
      </c>
      <c r="E11" s="43" t="s">
        <v>92</v>
      </c>
      <c r="F11" s="47" t="s">
        <v>93</v>
      </c>
      <c r="G11" s="43" t="s">
        <v>94</v>
      </c>
    </row>
    <row r="12" spans="1:7" ht="103.5" customHeight="1" x14ac:dyDescent="0.35">
      <c r="A12" s="43">
        <v>11</v>
      </c>
      <c r="B12" s="43"/>
      <c r="C12" s="49" t="s">
        <v>95</v>
      </c>
      <c r="D12" s="83" t="s">
        <v>96</v>
      </c>
      <c r="E12" s="43" t="s">
        <v>97</v>
      </c>
      <c r="F12" s="47" t="s">
        <v>98</v>
      </c>
      <c r="G12" s="43" t="s">
        <v>99</v>
      </c>
    </row>
    <row r="13" spans="1:7" s="45" customFormat="1" ht="101.5" customHeight="1" x14ac:dyDescent="0.35">
      <c r="A13" s="43">
        <v>12</v>
      </c>
      <c r="B13" s="43"/>
      <c r="C13" s="43" t="s">
        <v>100</v>
      </c>
      <c r="D13" s="83" t="s">
        <v>101</v>
      </c>
      <c r="E13" s="43" t="s">
        <v>102</v>
      </c>
      <c r="F13" s="47" t="s">
        <v>103</v>
      </c>
      <c r="G13" s="43" t="s">
        <v>104</v>
      </c>
    </row>
    <row r="14" spans="1:7" s="45" customFormat="1" ht="101.5" customHeight="1" x14ac:dyDescent="0.35">
      <c r="A14" s="43">
        <v>13</v>
      </c>
      <c r="B14" s="43"/>
      <c r="C14" s="43" t="s">
        <v>105</v>
      </c>
      <c r="D14" s="83" t="s">
        <v>106</v>
      </c>
      <c r="E14" s="43" t="s">
        <v>107</v>
      </c>
      <c r="F14" s="47" t="s">
        <v>108</v>
      </c>
      <c r="G14" s="43" t="s">
        <v>109</v>
      </c>
    </row>
    <row r="15" spans="1:7" ht="101.5" customHeight="1" x14ac:dyDescent="0.35">
      <c r="A15" s="43">
        <v>14</v>
      </c>
      <c r="B15" s="43"/>
      <c r="C15" s="43"/>
      <c r="D15" s="83"/>
      <c r="E15" s="43"/>
      <c r="F15" s="47"/>
      <c r="G15" s="43"/>
    </row>
    <row r="16" spans="1:7" ht="101.5" customHeight="1" x14ac:dyDescent="0.35">
      <c r="A16" s="43">
        <v>15</v>
      </c>
      <c r="B16" s="43"/>
      <c r="C16" s="43"/>
      <c r="D16" s="83"/>
      <c r="E16" s="43"/>
      <c r="F16" s="47"/>
      <c r="G16" s="43"/>
    </row>
    <row r="17" spans="1:7" ht="87" customHeight="1" x14ac:dyDescent="0.35">
      <c r="A17" s="43">
        <v>16</v>
      </c>
      <c r="B17" s="43"/>
      <c r="C17" s="43"/>
      <c r="D17" s="83"/>
      <c r="E17" s="43"/>
      <c r="F17" s="47"/>
      <c r="G17" s="43"/>
    </row>
    <row r="18" spans="1:7" ht="87" customHeight="1" x14ac:dyDescent="0.35">
      <c r="A18" s="43">
        <v>17</v>
      </c>
      <c r="B18" s="43"/>
      <c r="C18" s="43"/>
      <c r="D18" s="83"/>
      <c r="E18" s="43"/>
      <c r="F18" s="47"/>
      <c r="G18" s="43"/>
    </row>
    <row r="19" spans="1:7" ht="87" customHeight="1" x14ac:dyDescent="0.35">
      <c r="A19" s="43">
        <v>18</v>
      </c>
      <c r="B19" s="43"/>
      <c r="C19" s="49"/>
      <c r="D19" s="83"/>
      <c r="E19" s="43"/>
      <c r="F19" s="47"/>
      <c r="G19" s="43"/>
    </row>
    <row r="20" spans="1:7" ht="101.5" customHeight="1" x14ac:dyDescent="0.35">
      <c r="A20" s="43">
        <v>19</v>
      </c>
      <c r="B20" s="43"/>
      <c r="C20" s="49"/>
      <c r="D20" s="87"/>
      <c r="E20" s="46"/>
      <c r="F20" s="47"/>
      <c r="G20" s="43"/>
    </row>
    <row r="21" spans="1:7" ht="72.5" customHeight="1" x14ac:dyDescent="0.35">
      <c r="A21" s="43">
        <v>20</v>
      </c>
      <c r="B21" s="62"/>
      <c r="C21" s="63"/>
      <c r="D21" s="88"/>
      <c r="E21" s="64"/>
      <c r="F21" s="61"/>
      <c r="G21" s="63"/>
    </row>
    <row r="22" spans="1:7" ht="87" customHeight="1" x14ac:dyDescent="0.35">
      <c r="A22" s="43">
        <v>21</v>
      </c>
      <c r="B22" s="74"/>
      <c r="C22" s="75"/>
      <c r="D22" s="89"/>
      <c r="E22" s="46"/>
      <c r="F22" s="82"/>
      <c r="G22" s="46"/>
    </row>
    <row r="23" spans="1:7" ht="101.5" customHeight="1" x14ac:dyDescent="0.35">
      <c r="A23" s="43">
        <v>22</v>
      </c>
      <c r="B23" s="74"/>
      <c r="C23" s="75"/>
      <c r="D23" s="89"/>
      <c r="E23" s="46"/>
      <c r="F23" s="82"/>
      <c r="G23" s="46"/>
    </row>
    <row r="24" spans="1:7" ht="87" customHeight="1" x14ac:dyDescent="0.35">
      <c r="A24" s="43">
        <v>23</v>
      </c>
      <c r="B24" s="74"/>
      <c r="C24" s="75"/>
      <c r="D24" s="89"/>
      <c r="E24" s="46"/>
      <c r="F24" s="82"/>
      <c r="G24" s="46"/>
    </row>
    <row r="25" spans="1:7" ht="15" customHeight="1" x14ac:dyDescent="0.35">
      <c r="D25" s="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2:AN21"/>
  <sheetViews>
    <sheetView showGridLines="0" topLeftCell="A3" zoomScale="60" zoomScaleNormal="60" workbookViewId="0">
      <pane xSplit="2" ySplit="1" topLeftCell="C6" activePane="bottomRight" state="frozen"/>
      <selection pane="topRight"/>
      <selection pane="bottomLeft"/>
      <selection pane="bottomRight" activeCell="B13" sqref="B13"/>
    </sheetView>
  </sheetViews>
  <sheetFormatPr baseColWidth="10" defaultColWidth="11.453125" defaultRowHeight="15" customHeight="1" outlineLevelCol="1" x14ac:dyDescent="0.35"/>
  <cols>
    <col min="1" max="1" width="11.54296875" bestFit="1" customWidth="1"/>
    <col min="2" max="2" width="18" bestFit="1" customWidth="1"/>
    <col min="3" max="3" width="45.1796875" bestFit="1" customWidth="1"/>
    <col min="4" max="4" width="37.54296875" customWidth="1" outlineLevel="1"/>
    <col min="5" max="5" width="42.1796875" customWidth="1" outlineLevel="1"/>
    <col min="6" max="35" width="6.54296875" customWidth="1"/>
    <col min="36" max="36" width="33.1796875" customWidth="1"/>
    <col min="37" max="37" width="12.453125" style="54" bestFit="1" customWidth="1"/>
    <col min="38" max="38" width="11.453125" style="51" customWidth="1"/>
  </cols>
  <sheetData>
    <row r="2" spans="1:40" ht="14.5" customHeight="1" x14ac:dyDescent="0.35">
      <c r="F2" s="103" t="s">
        <v>110</v>
      </c>
      <c r="G2" s="104"/>
      <c r="H2" s="104"/>
      <c r="I2" s="104"/>
      <c r="J2" s="104"/>
      <c r="K2" s="104"/>
      <c r="L2" s="103" t="s">
        <v>111</v>
      </c>
      <c r="M2" s="104"/>
      <c r="N2" s="104"/>
      <c r="O2" s="104"/>
      <c r="P2" s="104"/>
      <c r="Q2" s="104"/>
      <c r="R2" s="104"/>
      <c r="S2" s="104"/>
      <c r="T2" s="104" t="s">
        <v>112</v>
      </c>
      <c r="U2" s="104"/>
      <c r="V2" s="104"/>
      <c r="W2" s="104"/>
      <c r="X2" s="104"/>
      <c r="Y2" s="104"/>
      <c r="Z2" s="103" t="s">
        <v>113</v>
      </c>
      <c r="AA2" s="104"/>
      <c r="AB2" s="104"/>
      <c r="AC2" s="104"/>
      <c r="AD2" s="104"/>
      <c r="AE2" s="104"/>
      <c r="AH2" s="29"/>
      <c r="AI2" s="29"/>
      <c r="AJ2" s="29"/>
    </row>
    <row r="3" spans="1:40" s="2" customFormat="1" ht="122.25" customHeight="1" x14ac:dyDescent="0.35">
      <c r="A3" s="1" t="s">
        <v>114</v>
      </c>
      <c r="B3" s="1" t="s">
        <v>115</v>
      </c>
      <c r="C3" s="1" t="s">
        <v>116</v>
      </c>
      <c r="D3" s="1" t="s">
        <v>117</v>
      </c>
      <c r="E3" s="30" t="s">
        <v>118</v>
      </c>
      <c r="F3" s="107" t="s">
        <v>46</v>
      </c>
      <c r="G3" s="108"/>
      <c r="H3" s="101" t="s">
        <v>51</v>
      </c>
      <c r="I3" s="102"/>
      <c r="J3" s="101" t="s">
        <v>56</v>
      </c>
      <c r="K3" s="102"/>
      <c r="L3" s="107" t="s">
        <v>61</v>
      </c>
      <c r="M3" s="108"/>
      <c r="N3" s="101" t="s">
        <v>66</v>
      </c>
      <c r="O3" s="102"/>
      <c r="P3" s="112" t="s">
        <v>71</v>
      </c>
      <c r="Q3" s="113"/>
      <c r="R3" s="101" t="s">
        <v>75</v>
      </c>
      <c r="S3" s="102"/>
      <c r="T3" s="101" t="s">
        <v>80</v>
      </c>
      <c r="U3" s="102"/>
      <c r="V3" s="107" t="s">
        <v>85</v>
      </c>
      <c r="W3" s="108"/>
      <c r="X3" s="107" t="s">
        <v>90</v>
      </c>
      <c r="Y3" s="108"/>
      <c r="Z3" s="107" t="s">
        <v>95</v>
      </c>
      <c r="AA3" s="108"/>
      <c r="AB3" s="101" t="s">
        <v>100</v>
      </c>
      <c r="AC3" s="102"/>
      <c r="AD3" s="101" t="s">
        <v>105</v>
      </c>
      <c r="AE3" s="102"/>
      <c r="AF3" s="101"/>
      <c r="AG3" s="102"/>
      <c r="AH3" s="110" t="s">
        <v>119</v>
      </c>
      <c r="AI3" s="111"/>
      <c r="AJ3" s="111"/>
      <c r="AK3" s="105" t="s">
        <v>120</v>
      </c>
      <c r="AL3" s="109" t="s">
        <v>121</v>
      </c>
      <c r="AM3" s="2">
        <v>44</v>
      </c>
    </row>
    <row r="4" spans="1:40" s="2" customFormat="1" ht="26.25" customHeight="1" x14ac:dyDescent="0.35">
      <c r="A4" s="1"/>
      <c r="B4" s="1"/>
      <c r="C4" s="1"/>
      <c r="D4" s="1"/>
      <c r="E4" s="30"/>
      <c r="F4" s="32" t="s">
        <v>122</v>
      </c>
      <c r="G4" s="31" t="s">
        <v>123</v>
      </c>
      <c r="H4" s="32" t="s">
        <v>122</v>
      </c>
      <c r="I4" s="31" t="s">
        <v>123</v>
      </c>
      <c r="J4" s="32" t="s">
        <v>122</v>
      </c>
      <c r="K4" s="31" t="s">
        <v>123</v>
      </c>
      <c r="L4" s="32" t="s">
        <v>122</v>
      </c>
      <c r="M4" s="31" t="s">
        <v>123</v>
      </c>
      <c r="N4" s="32" t="s">
        <v>122</v>
      </c>
      <c r="O4" s="31" t="s">
        <v>123</v>
      </c>
      <c r="P4" s="32" t="s">
        <v>122</v>
      </c>
      <c r="Q4" s="31" t="s">
        <v>123</v>
      </c>
      <c r="R4" s="32" t="s">
        <v>122</v>
      </c>
      <c r="S4" s="31" t="s">
        <v>123</v>
      </c>
      <c r="T4" s="32" t="s">
        <v>122</v>
      </c>
      <c r="U4" s="31" t="s">
        <v>123</v>
      </c>
      <c r="V4" s="32" t="s">
        <v>122</v>
      </c>
      <c r="W4" s="31" t="s">
        <v>123</v>
      </c>
      <c r="X4" s="32" t="s">
        <v>122</v>
      </c>
      <c r="Y4" s="31" t="s">
        <v>123</v>
      </c>
      <c r="Z4" s="32" t="s">
        <v>122</v>
      </c>
      <c r="AA4" s="31" t="s">
        <v>123</v>
      </c>
      <c r="AB4" s="32" t="s">
        <v>122</v>
      </c>
      <c r="AC4" s="31" t="s">
        <v>123</v>
      </c>
      <c r="AD4" s="32" t="s">
        <v>122</v>
      </c>
      <c r="AE4" s="31" t="s">
        <v>123</v>
      </c>
      <c r="AF4" s="32" t="s">
        <v>122</v>
      </c>
      <c r="AG4" s="31" t="s">
        <v>123</v>
      </c>
      <c r="AH4" s="33" t="s">
        <v>122</v>
      </c>
      <c r="AI4" s="31" t="s">
        <v>123</v>
      </c>
      <c r="AJ4" s="34" t="s">
        <v>124</v>
      </c>
      <c r="AK4" s="106"/>
      <c r="AL4" s="106"/>
      <c r="AN4" s="2">
        <v>5</v>
      </c>
    </row>
    <row r="5" spans="1:40" s="38" customFormat="1" ht="12" hidden="1" customHeight="1" x14ac:dyDescent="0.3">
      <c r="A5" s="35" t="s">
        <v>125</v>
      </c>
      <c r="B5" s="35" t="s">
        <v>126</v>
      </c>
      <c r="C5" s="35" t="s">
        <v>127</v>
      </c>
      <c r="D5" s="35" t="s">
        <v>128</v>
      </c>
      <c r="E5" s="35" t="s">
        <v>129</v>
      </c>
      <c r="F5" s="36">
        <v>4</v>
      </c>
      <c r="G5" s="37">
        <f t="shared" ref="G5:G14" si="0">F5/$AM$3</f>
        <v>9.0909090909090912E-2</v>
      </c>
      <c r="H5" s="36">
        <v>4</v>
      </c>
      <c r="I5" s="37">
        <f t="shared" ref="I5:I14" si="1">H5/$AM$3</f>
        <v>9.0909090909090912E-2</v>
      </c>
      <c r="J5" s="36">
        <v>2</v>
      </c>
      <c r="K5" s="37">
        <f t="shared" ref="K5:K14" si="2">J5/$AM$3</f>
        <v>4.5454545454545456E-2</v>
      </c>
      <c r="L5" s="36">
        <v>2</v>
      </c>
      <c r="M5" s="37">
        <f t="shared" ref="M5:M14" si="3">L5/$AM$3</f>
        <v>4.5454545454545456E-2</v>
      </c>
      <c r="N5" s="36">
        <v>2</v>
      </c>
      <c r="O5" s="37">
        <f t="shared" ref="O5:O14" si="4">N5/$AM$3</f>
        <v>4.5454545454545456E-2</v>
      </c>
      <c r="P5" s="36">
        <v>10</v>
      </c>
      <c r="Q5" s="37">
        <f t="shared" ref="Q5:Q14" si="5">P5/$AM$3</f>
        <v>0.22727272727272727</v>
      </c>
      <c r="R5" s="36">
        <v>5</v>
      </c>
      <c r="S5" s="37">
        <f t="shared" ref="S5:S14" si="6">R5/$AM$3</f>
        <v>0.11363636363636363</v>
      </c>
      <c r="T5" s="36">
        <v>6</v>
      </c>
      <c r="U5" s="37">
        <f t="shared" ref="U5:U14" si="7">T5/$AM$3</f>
        <v>0.13636363636363635</v>
      </c>
      <c r="V5" s="36">
        <v>2</v>
      </c>
      <c r="W5" s="37">
        <f t="shared" ref="W5:W14" si="8">V5/$AM$3</f>
        <v>4.5454545454545456E-2</v>
      </c>
      <c r="X5" s="36">
        <v>2</v>
      </c>
      <c r="Y5" s="37">
        <f t="shared" ref="Y5:Y14" si="9">X5/$AM$3</f>
        <v>4.5454545454545456E-2</v>
      </c>
      <c r="Z5" s="36">
        <v>3</v>
      </c>
      <c r="AA5" s="37">
        <f t="shared" ref="AA5:AA14" si="10">Z5/$AM$3</f>
        <v>6.8181818181818177E-2</v>
      </c>
      <c r="AB5" s="36">
        <v>0</v>
      </c>
      <c r="AC5" s="37">
        <f t="shared" ref="AC5:AC14" si="11">AB5/$AM$3</f>
        <v>0</v>
      </c>
      <c r="AD5" s="36">
        <v>2</v>
      </c>
      <c r="AE5" s="37">
        <f t="shared" ref="AE5:AE14" si="12">AD5/$AM$3</f>
        <v>4.5454545454545456E-2</v>
      </c>
      <c r="AF5" s="36">
        <v>3</v>
      </c>
      <c r="AG5" s="37">
        <f t="shared" ref="AG5:AG12" si="13">AF5/$AK$5</f>
        <v>6.8181818181818177E-2</v>
      </c>
      <c r="AH5" s="36">
        <v>0</v>
      </c>
      <c r="AI5" s="37">
        <f t="shared" ref="AI5:AI18" si="14">AH5/$AM$3</f>
        <v>0</v>
      </c>
      <c r="AJ5" s="36"/>
      <c r="AK5" s="55">
        <f t="shared" ref="AK5:AK14" si="15">F5+H5+J5+L5+N5+P5+R5+T5+V5+X5+Z5+AB5+AD5+AH5</f>
        <v>44</v>
      </c>
      <c r="AL5" s="52">
        <f t="shared" ref="AL5:AL14" si="16">G5+I5+K5+M5+O5+Q5+S5+U5+W5+Y5+AA5+AC5+AE5+AI5</f>
        <v>1</v>
      </c>
    </row>
    <row r="6" spans="1:40" s="4" customFormat="1" ht="36" customHeight="1" x14ac:dyDescent="0.3">
      <c r="A6" s="58" t="s">
        <v>125</v>
      </c>
      <c r="B6" s="58" t="s">
        <v>128</v>
      </c>
      <c r="C6" s="58" t="s">
        <v>130</v>
      </c>
      <c r="D6" s="58" t="s">
        <v>128</v>
      </c>
      <c r="E6" s="59" t="s">
        <v>127</v>
      </c>
      <c r="F6" s="50">
        <v>3</v>
      </c>
      <c r="G6" s="60">
        <f t="shared" si="0"/>
        <v>6.8181818181818177E-2</v>
      </c>
      <c r="H6" s="50">
        <v>5</v>
      </c>
      <c r="I6" s="60">
        <f t="shared" si="1"/>
        <v>0.11363636363636363</v>
      </c>
      <c r="J6" s="50">
        <v>5</v>
      </c>
      <c r="K6" s="60">
        <f t="shared" si="2"/>
        <v>0.11363636363636363</v>
      </c>
      <c r="L6" s="50">
        <v>3</v>
      </c>
      <c r="M6" s="60">
        <f t="shared" si="3"/>
        <v>6.8181818181818177E-2</v>
      </c>
      <c r="N6" s="50">
        <v>2</v>
      </c>
      <c r="O6" s="60">
        <f t="shared" si="4"/>
        <v>4.5454545454545456E-2</v>
      </c>
      <c r="P6" s="50">
        <v>6</v>
      </c>
      <c r="Q6" s="60">
        <f t="shared" si="5"/>
        <v>0.13636363636363635</v>
      </c>
      <c r="R6" s="50">
        <v>4</v>
      </c>
      <c r="S6" s="60">
        <f t="shared" si="6"/>
        <v>9.0909090909090912E-2</v>
      </c>
      <c r="T6" s="50">
        <v>3</v>
      </c>
      <c r="U6" s="60">
        <f t="shared" si="7"/>
        <v>6.8181818181818177E-2</v>
      </c>
      <c r="V6" s="50">
        <v>3</v>
      </c>
      <c r="W6" s="60">
        <f t="shared" si="8"/>
        <v>6.8181818181818177E-2</v>
      </c>
      <c r="X6" s="50">
        <v>3</v>
      </c>
      <c r="Y6" s="60">
        <f t="shared" si="9"/>
        <v>6.8181818181818177E-2</v>
      </c>
      <c r="Z6" s="50">
        <v>3</v>
      </c>
      <c r="AA6" s="60">
        <f t="shared" si="10"/>
        <v>6.8181818181818177E-2</v>
      </c>
      <c r="AB6" s="50">
        <v>0</v>
      </c>
      <c r="AC6" s="60">
        <f t="shared" si="11"/>
        <v>0</v>
      </c>
      <c r="AD6" s="50">
        <v>3</v>
      </c>
      <c r="AE6" s="60">
        <f t="shared" si="12"/>
        <v>6.8181818181818177E-2</v>
      </c>
      <c r="AF6" s="50"/>
      <c r="AG6" s="60">
        <f t="shared" si="13"/>
        <v>0</v>
      </c>
      <c r="AH6" s="50">
        <v>1</v>
      </c>
      <c r="AI6" s="60">
        <f t="shared" si="14"/>
        <v>2.2727272727272728E-2</v>
      </c>
      <c r="AJ6" s="69"/>
      <c r="AK6" s="55">
        <f t="shared" si="15"/>
        <v>44</v>
      </c>
      <c r="AL6" s="52">
        <f t="shared" si="16"/>
        <v>0.99999999999999978</v>
      </c>
      <c r="AM6" s="66">
        <f>AK6-$AM$3</f>
        <v>0</v>
      </c>
      <c r="AN6" s="4">
        <f>AM6/$AN$4</f>
        <v>0</v>
      </c>
    </row>
    <row r="7" spans="1:40" s="4" customFormat="1" ht="55.5" customHeight="1" x14ac:dyDescent="0.3">
      <c r="A7" s="58" t="s">
        <v>125</v>
      </c>
      <c r="B7" s="58" t="s">
        <v>128</v>
      </c>
      <c r="C7" s="58" t="s">
        <v>131</v>
      </c>
      <c r="D7" s="58" t="s">
        <v>132</v>
      </c>
      <c r="E7" s="59" t="s">
        <v>127</v>
      </c>
      <c r="F7" s="50">
        <v>0</v>
      </c>
      <c r="G7" s="60">
        <f t="shared" si="0"/>
        <v>0</v>
      </c>
      <c r="H7" s="50">
        <v>3</v>
      </c>
      <c r="I7" s="60">
        <f t="shared" si="1"/>
        <v>6.8181818181818177E-2</v>
      </c>
      <c r="J7" s="50">
        <v>0</v>
      </c>
      <c r="K7" s="60">
        <f t="shared" si="2"/>
        <v>0</v>
      </c>
      <c r="L7" s="50">
        <v>0</v>
      </c>
      <c r="M7" s="60">
        <f t="shared" si="3"/>
        <v>0</v>
      </c>
      <c r="N7" s="50">
        <v>0</v>
      </c>
      <c r="O7" s="60">
        <f t="shared" si="4"/>
        <v>0</v>
      </c>
      <c r="P7" s="50">
        <v>8</v>
      </c>
      <c r="Q7" s="60">
        <f t="shared" si="5"/>
        <v>0.18181818181818182</v>
      </c>
      <c r="R7" s="50">
        <v>7</v>
      </c>
      <c r="S7" s="60">
        <f t="shared" si="6"/>
        <v>0.15909090909090909</v>
      </c>
      <c r="T7" s="50">
        <v>8</v>
      </c>
      <c r="U7" s="60">
        <f t="shared" si="7"/>
        <v>0.18181818181818182</v>
      </c>
      <c r="V7" s="50">
        <v>5</v>
      </c>
      <c r="W7" s="60">
        <f t="shared" si="8"/>
        <v>0.11363636363636363</v>
      </c>
      <c r="X7" s="50">
        <v>0</v>
      </c>
      <c r="Y7" s="60">
        <f t="shared" si="9"/>
        <v>0</v>
      </c>
      <c r="Z7" s="50">
        <v>6</v>
      </c>
      <c r="AA7" s="60">
        <f t="shared" si="10"/>
        <v>0.13636363636363635</v>
      </c>
      <c r="AB7" s="50">
        <v>0</v>
      </c>
      <c r="AC7" s="60">
        <f t="shared" si="11"/>
        <v>0</v>
      </c>
      <c r="AD7" s="50">
        <v>0</v>
      </c>
      <c r="AE7" s="60">
        <f t="shared" si="12"/>
        <v>0</v>
      </c>
      <c r="AF7" s="50"/>
      <c r="AG7" s="60">
        <f t="shared" si="13"/>
        <v>0</v>
      </c>
      <c r="AH7" s="50">
        <v>7</v>
      </c>
      <c r="AI7" s="60">
        <f t="shared" si="14"/>
        <v>0.15909090909090909</v>
      </c>
      <c r="AJ7" s="69"/>
      <c r="AK7" s="55">
        <f t="shared" si="15"/>
        <v>44</v>
      </c>
      <c r="AL7" s="52">
        <f t="shared" si="16"/>
        <v>0.99999999999999989</v>
      </c>
      <c r="AM7" s="66">
        <f>AK7-$AM$3</f>
        <v>0</v>
      </c>
      <c r="AN7" s="4">
        <f>AM7/$AN$4</f>
        <v>0</v>
      </c>
    </row>
    <row r="8" spans="1:40" s="4" customFormat="1" ht="27" customHeight="1" x14ac:dyDescent="0.3">
      <c r="A8" s="58" t="s">
        <v>125</v>
      </c>
      <c r="B8" s="58" t="s">
        <v>133</v>
      </c>
      <c r="C8" s="58" t="s">
        <v>133</v>
      </c>
      <c r="D8" s="58" t="s">
        <v>134</v>
      </c>
      <c r="E8" s="59" t="s">
        <v>135</v>
      </c>
      <c r="F8" s="50">
        <v>4</v>
      </c>
      <c r="G8" s="60">
        <f t="shared" si="0"/>
        <v>9.0909090909090912E-2</v>
      </c>
      <c r="H8" s="50">
        <v>3</v>
      </c>
      <c r="I8" s="60">
        <f t="shared" si="1"/>
        <v>6.8181818181818177E-2</v>
      </c>
      <c r="J8" s="50">
        <v>0</v>
      </c>
      <c r="K8" s="60">
        <f t="shared" si="2"/>
        <v>0</v>
      </c>
      <c r="L8" s="50">
        <v>0</v>
      </c>
      <c r="M8" s="60">
        <f t="shared" si="3"/>
        <v>0</v>
      </c>
      <c r="N8" s="50">
        <v>14</v>
      </c>
      <c r="O8" s="60">
        <f t="shared" si="4"/>
        <v>0.31818181818181818</v>
      </c>
      <c r="P8" s="50">
        <v>5</v>
      </c>
      <c r="Q8" s="60">
        <f t="shared" si="5"/>
        <v>0.11363636363636363</v>
      </c>
      <c r="R8" s="50">
        <v>0</v>
      </c>
      <c r="S8" s="60">
        <f t="shared" si="6"/>
        <v>0</v>
      </c>
      <c r="T8" s="50">
        <v>0</v>
      </c>
      <c r="U8" s="60">
        <f t="shared" si="7"/>
        <v>0</v>
      </c>
      <c r="V8" s="50">
        <v>0</v>
      </c>
      <c r="W8" s="60">
        <f t="shared" si="8"/>
        <v>0</v>
      </c>
      <c r="X8" s="50">
        <v>0</v>
      </c>
      <c r="Y8" s="60">
        <f t="shared" si="9"/>
        <v>0</v>
      </c>
      <c r="Z8" s="50">
        <v>0</v>
      </c>
      <c r="AA8" s="60">
        <f t="shared" si="10"/>
        <v>0</v>
      </c>
      <c r="AB8" s="50">
        <v>6</v>
      </c>
      <c r="AC8" s="60">
        <f t="shared" si="11"/>
        <v>0.13636363636363635</v>
      </c>
      <c r="AD8" s="50">
        <v>0</v>
      </c>
      <c r="AE8" s="60">
        <f t="shared" si="12"/>
        <v>0</v>
      </c>
      <c r="AF8" s="50"/>
      <c r="AG8" s="60">
        <f t="shared" si="13"/>
        <v>0</v>
      </c>
      <c r="AH8" s="50">
        <v>12</v>
      </c>
      <c r="AI8" s="60">
        <f t="shared" si="14"/>
        <v>0.27272727272727271</v>
      </c>
      <c r="AJ8" s="69"/>
      <c r="AK8" s="55">
        <f t="shared" si="15"/>
        <v>44</v>
      </c>
      <c r="AL8" s="52">
        <f t="shared" si="16"/>
        <v>1</v>
      </c>
      <c r="AM8" s="66">
        <f>AK8-$AM$3</f>
        <v>0</v>
      </c>
      <c r="AN8" s="4">
        <f>AM8/$AN$4</f>
        <v>0</v>
      </c>
    </row>
    <row r="9" spans="1:40" s="4" customFormat="1" ht="31.5" customHeight="1" x14ac:dyDescent="0.3">
      <c r="A9" s="58" t="s">
        <v>125</v>
      </c>
      <c r="B9" s="58" t="s">
        <v>133</v>
      </c>
      <c r="C9" s="58" t="s">
        <v>136</v>
      </c>
      <c r="D9" s="58" t="s">
        <v>137</v>
      </c>
      <c r="E9" s="59" t="s">
        <v>138</v>
      </c>
      <c r="F9" s="50">
        <v>0</v>
      </c>
      <c r="G9" s="60">
        <f t="shared" si="0"/>
        <v>0</v>
      </c>
      <c r="H9" s="50">
        <v>0</v>
      </c>
      <c r="I9" s="60">
        <f t="shared" si="1"/>
        <v>0</v>
      </c>
      <c r="J9" s="50">
        <v>0</v>
      </c>
      <c r="K9" s="60">
        <f t="shared" si="2"/>
        <v>0</v>
      </c>
      <c r="L9" s="50">
        <v>0</v>
      </c>
      <c r="M9" s="60">
        <f t="shared" si="3"/>
        <v>0</v>
      </c>
      <c r="N9" s="50">
        <v>8</v>
      </c>
      <c r="O9" s="60">
        <f t="shared" si="4"/>
        <v>0.18181818181818182</v>
      </c>
      <c r="P9" s="50">
        <v>0</v>
      </c>
      <c r="Q9" s="60">
        <f t="shared" si="5"/>
        <v>0</v>
      </c>
      <c r="R9" s="50">
        <v>0</v>
      </c>
      <c r="S9" s="60">
        <f t="shared" si="6"/>
        <v>0</v>
      </c>
      <c r="T9" s="50">
        <v>0</v>
      </c>
      <c r="U9" s="60">
        <f t="shared" si="7"/>
        <v>0</v>
      </c>
      <c r="V9" s="50">
        <v>0</v>
      </c>
      <c r="W9" s="60">
        <f t="shared" si="8"/>
        <v>0</v>
      </c>
      <c r="X9" s="50">
        <v>0</v>
      </c>
      <c r="Y9" s="60">
        <f t="shared" si="9"/>
        <v>0</v>
      </c>
      <c r="Z9" s="50">
        <v>0</v>
      </c>
      <c r="AA9" s="60">
        <f t="shared" si="10"/>
        <v>0</v>
      </c>
      <c r="AB9" s="50">
        <v>14</v>
      </c>
      <c r="AC9" s="60">
        <f t="shared" si="11"/>
        <v>0.31818181818181818</v>
      </c>
      <c r="AD9" s="50">
        <v>4</v>
      </c>
      <c r="AE9" s="60">
        <f t="shared" si="12"/>
        <v>9.0909090909090912E-2</v>
      </c>
      <c r="AF9" s="50"/>
      <c r="AG9" s="60">
        <f t="shared" si="13"/>
        <v>0</v>
      </c>
      <c r="AH9" s="50">
        <v>18</v>
      </c>
      <c r="AI9" s="60">
        <f t="shared" si="14"/>
        <v>0.40909090909090912</v>
      </c>
      <c r="AJ9" s="69"/>
      <c r="AK9" s="55">
        <f t="shared" si="15"/>
        <v>44</v>
      </c>
      <c r="AL9" s="52">
        <f t="shared" si="16"/>
        <v>1</v>
      </c>
      <c r="AM9" s="66">
        <f>AK9-$AM$3</f>
        <v>0</v>
      </c>
      <c r="AN9" s="4">
        <f>AM9/$AN$4</f>
        <v>0</v>
      </c>
    </row>
    <row r="10" spans="1:40" ht="14.5" customHeight="1" x14ac:dyDescent="0.35">
      <c r="A10" t="s">
        <v>125</v>
      </c>
      <c r="B10" t="s">
        <v>139</v>
      </c>
      <c r="C10" t="s">
        <v>140</v>
      </c>
      <c r="D10" s="3" t="s">
        <v>141</v>
      </c>
      <c r="E10" s="40" t="s">
        <v>142</v>
      </c>
      <c r="F10" s="41">
        <v>0</v>
      </c>
      <c r="G10" s="37">
        <f t="shared" si="0"/>
        <v>0</v>
      </c>
      <c r="H10" s="41">
        <v>0</v>
      </c>
      <c r="I10" s="37">
        <f t="shared" si="1"/>
        <v>0</v>
      </c>
      <c r="J10" s="41">
        <v>0</v>
      </c>
      <c r="K10" s="37">
        <f t="shared" si="2"/>
        <v>0</v>
      </c>
      <c r="L10" s="41">
        <v>12</v>
      </c>
      <c r="M10" s="37">
        <f t="shared" si="3"/>
        <v>0.27272727272727271</v>
      </c>
      <c r="N10" s="41">
        <v>0</v>
      </c>
      <c r="O10" s="37">
        <f t="shared" si="4"/>
        <v>0</v>
      </c>
      <c r="P10" s="41">
        <v>0</v>
      </c>
      <c r="Q10" s="37">
        <f t="shared" si="5"/>
        <v>0</v>
      </c>
      <c r="R10" s="41">
        <v>3</v>
      </c>
      <c r="S10" s="37">
        <f t="shared" si="6"/>
        <v>6.8181818181818177E-2</v>
      </c>
      <c r="T10" s="41">
        <v>0</v>
      </c>
      <c r="U10" s="37">
        <f t="shared" si="7"/>
        <v>0</v>
      </c>
      <c r="V10" s="41">
        <v>0</v>
      </c>
      <c r="W10" s="37">
        <f t="shared" si="8"/>
        <v>0</v>
      </c>
      <c r="X10" s="41">
        <v>3</v>
      </c>
      <c r="Y10" s="37">
        <f t="shared" si="9"/>
        <v>6.8181818181818177E-2</v>
      </c>
      <c r="Z10" s="41">
        <v>0</v>
      </c>
      <c r="AA10" s="37">
        <f t="shared" si="10"/>
        <v>0</v>
      </c>
      <c r="AB10" s="41">
        <v>0</v>
      </c>
      <c r="AC10" s="37">
        <f t="shared" si="11"/>
        <v>0</v>
      </c>
      <c r="AD10" s="41">
        <v>8</v>
      </c>
      <c r="AE10" s="37">
        <f t="shared" si="12"/>
        <v>0.18181818181818182</v>
      </c>
      <c r="AF10" s="41">
        <f>MAX(AF5:AF8)</f>
        <v>3</v>
      </c>
      <c r="AG10" s="37">
        <f t="shared" si="13"/>
        <v>6.8181818181818177E-2</v>
      </c>
      <c r="AH10" s="41">
        <v>18</v>
      </c>
      <c r="AI10" s="37">
        <f t="shared" si="14"/>
        <v>0.40909090909090912</v>
      </c>
      <c r="AJ10" s="41"/>
      <c r="AK10" s="55">
        <f t="shared" si="15"/>
        <v>44</v>
      </c>
      <c r="AL10" s="53">
        <f t="shared" si="16"/>
        <v>1</v>
      </c>
    </row>
    <row r="11" spans="1:40" ht="14.5" customHeight="1" x14ac:dyDescent="0.35">
      <c r="A11" t="s">
        <v>125</v>
      </c>
      <c r="B11" t="s">
        <v>143</v>
      </c>
      <c r="C11" t="s">
        <v>143</v>
      </c>
      <c r="D11" s="3" t="s">
        <v>144</v>
      </c>
      <c r="E11" s="40" t="s">
        <v>145</v>
      </c>
      <c r="F11" s="41">
        <v>0</v>
      </c>
      <c r="G11" s="37">
        <f t="shared" si="0"/>
        <v>0</v>
      </c>
      <c r="H11" s="41">
        <v>0</v>
      </c>
      <c r="I11" s="37">
        <f t="shared" si="1"/>
        <v>0</v>
      </c>
      <c r="J11" s="41">
        <v>0</v>
      </c>
      <c r="K11" s="37">
        <f t="shared" si="2"/>
        <v>0</v>
      </c>
      <c r="L11" s="41">
        <v>2</v>
      </c>
      <c r="M11" s="37">
        <f t="shared" si="3"/>
        <v>4.5454545454545456E-2</v>
      </c>
      <c r="N11" s="41">
        <v>0</v>
      </c>
      <c r="O11" s="37">
        <f t="shared" si="4"/>
        <v>0</v>
      </c>
      <c r="P11" s="41">
        <v>0</v>
      </c>
      <c r="Q11" s="37">
        <f t="shared" si="5"/>
        <v>0</v>
      </c>
      <c r="R11" s="41">
        <v>2</v>
      </c>
      <c r="S11" s="37">
        <f t="shared" si="6"/>
        <v>4.5454545454545456E-2</v>
      </c>
      <c r="T11" s="41">
        <v>0</v>
      </c>
      <c r="U11" s="37">
        <f t="shared" si="7"/>
        <v>0</v>
      </c>
      <c r="V11" s="41">
        <v>2</v>
      </c>
      <c r="W11" s="37">
        <f t="shared" si="8"/>
        <v>4.5454545454545456E-2</v>
      </c>
      <c r="X11" s="41">
        <v>8</v>
      </c>
      <c r="Y11" s="37">
        <f t="shared" si="9"/>
        <v>0.18181818181818182</v>
      </c>
      <c r="Z11" s="41">
        <v>2</v>
      </c>
      <c r="AA11" s="37">
        <f t="shared" si="10"/>
        <v>4.5454545454545456E-2</v>
      </c>
      <c r="AB11" s="41">
        <v>2</v>
      </c>
      <c r="AC11" s="37">
        <f t="shared" si="11"/>
        <v>4.5454545454545456E-2</v>
      </c>
      <c r="AD11" s="41">
        <v>2</v>
      </c>
      <c r="AE11" s="37">
        <f t="shared" si="12"/>
        <v>4.5454545454545456E-2</v>
      </c>
      <c r="AF11" s="41">
        <f>MIN(AF5:AF8)</f>
        <v>3</v>
      </c>
      <c r="AG11" s="37">
        <f t="shared" si="13"/>
        <v>6.8181818181818177E-2</v>
      </c>
      <c r="AH11" s="41">
        <v>24</v>
      </c>
      <c r="AI11" s="37">
        <f t="shared" si="14"/>
        <v>0.54545454545454541</v>
      </c>
      <c r="AJ11" s="41"/>
      <c r="AK11" s="55">
        <f t="shared" si="15"/>
        <v>44</v>
      </c>
      <c r="AL11" s="53">
        <f t="shared" si="16"/>
        <v>1</v>
      </c>
    </row>
    <row r="12" spans="1:40" ht="14.5" customHeight="1" x14ac:dyDescent="0.35">
      <c r="A12" t="s">
        <v>125</v>
      </c>
      <c r="B12" t="s">
        <v>146</v>
      </c>
      <c r="C12" t="s">
        <v>147</v>
      </c>
      <c r="D12" s="3" t="s">
        <v>148</v>
      </c>
      <c r="E12" s="40" t="s">
        <v>143</v>
      </c>
      <c r="F12" s="41">
        <v>1</v>
      </c>
      <c r="G12" s="67">
        <f t="shared" si="0"/>
        <v>2.2727272727272728E-2</v>
      </c>
      <c r="H12" s="41">
        <v>2</v>
      </c>
      <c r="I12" s="67">
        <f t="shared" si="1"/>
        <v>4.5454545454545456E-2</v>
      </c>
      <c r="J12" s="41">
        <v>4</v>
      </c>
      <c r="K12" s="67">
        <f t="shared" si="2"/>
        <v>9.0909090909090912E-2</v>
      </c>
      <c r="L12" s="41">
        <v>3</v>
      </c>
      <c r="M12" s="67">
        <f t="shared" si="3"/>
        <v>6.8181818181818177E-2</v>
      </c>
      <c r="N12" s="41">
        <v>0</v>
      </c>
      <c r="O12" s="67">
        <f t="shared" si="4"/>
        <v>0</v>
      </c>
      <c r="P12" s="41">
        <v>0</v>
      </c>
      <c r="Q12" s="67">
        <f t="shared" si="5"/>
        <v>0</v>
      </c>
      <c r="R12" s="41">
        <v>2</v>
      </c>
      <c r="S12" s="67">
        <f t="shared" si="6"/>
        <v>4.5454545454545456E-2</v>
      </c>
      <c r="T12" s="41">
        <v>0</v>
      </c>
      <c r="U12" s="67">
        <f t="shared" si="7"/>
        <v>0</v>
      </c>
      <c r="V12" s="41">
        <v>4</v>
      </c>
      <c r="W12" s="67">
        <f t="shared" si="8"/>
        <v>9.0909090909090912E-2</v>
      </c>
      <c r="X12" s="41">
        <v>6</v>
      </c>
      <c r="Y12" s="67">
        <f t="shared" si="9"/>
        <v>0.13636363636363635</v>
      </c>
      <c r="Z12" s="41">
        <v>3</v>
      </c>
      <c r="AA12" s="67">
        <f t="shared" si="10"/>
        <v>6.8181818181818177E-2</v>
      </c>
      <c r="AB12" s="41">
        <v>4</v>
      </c>
      <c r="AC12" s="67">
        <f t="shared" si="11"/>
        <v>9.0909090909090912E-2</v>
      </c>
      <c r="AD12" s="41">
        <v>3</v>
      </c>
      <c r="AE12" s="67">
        <f t="shared" si="12"/>
        <v>6.8181818181818177E-2</v>
      </c>
      <c r="AF12" s="41">
        <f>MEDIAN(AF5:AF8)</f>
        <v>3</v>
      </c>
      <c r="AG12" s="67">
        <f t="shared" si="13"/>
        <v>6.8181818181818177E-2</v>
      </c>
      <c r="AH12" s="41">
        <v>12</v>
      </c>
      <c r="AI12" s="67">
        <f t="shared" si="14"/>
        <v>0.27272727272727271</v>
      </c>
      <c r="AJ12" s="41"/>
      <c r="AK12" s="55">
        <f t="shared" si="15"/>
        <v>44</v>
      </c>
      <c r="AL12" s="53">
        <f t="shared" si="16"/>
        <v>1</v>
      </c>
    </row>
    <row r="13" spans="1:40" s="44" customFormat="1" ht="42.75" customHeight="1" x14ac:dyDescent="0.35">
      <c r="A13" t="s">
        <v>125</v>
      </c>
      <c r="B13" t="s">
        <v>149</v>
      </c>
      <c r="C13" t="s">
        <v>149</v>
      </c>
      <c r="D13" t="s">
        <v>150</v>
      </c>
      <c r="E13" t="s">
        <v>143</v>
      </c>
      <c r="F13" s="99">
        <v>0</v>
      </c>
      <c r="G13">
        <f t="shared" si="0"/>
        <v>0</v>
      </c>
      <c r="H13" s="99">
        <v>0</v>
      </c>
      <c r="I13">
        <f t="shared" si="1"/>
        <v>0</v>
      </c>
      <c r="J13" s="99">
        <v>0</v>
      </c>
      <c r="K13">
        <f t="shared" si="2"/>
        <v>0</v>
      </c>
      <c r="L13" s="99">
        <v>1</v>
      </c>
      <c r="M13">
        <f t="shared" si="3"/>
        <v>2.2727272727272728E-2</v>
      </c>
      <c r="N13" s="99">
        <v>0</v>
      </c>
      <c r="O13">
        <f t="shared" si="4"/>
        <v>0</v>
      </c>
      <c r="P13" s="98">
        <v>0</v>
      </c>
      <c r="Q13">
        <f t="shared" si="5"/>
        <v>0</v>
      </c>
      <c r="R13" s="98">
        <v>1</v>
      </c>
      <c r="S13">
        <f t="shared" si="6"/>
        <v>2.2727272727272728E-2</v>
      </c>
      <c r="T13" s="98">
        <v>0</v>
      </c>
      <c r="U13">
        <f t="shared" si="7"/>
        <v>0</v>
      </c>
      <c r="V13" s="98">
        <v>5</v>
      </c>
      <c r="W13">
        <f t="shared" si="8"/>
        <v>0.11363636363636363</v>
      </c>
      <c r="X13" s="100">
        <v>10</v>
      </c>
      <c r="Y13">
        <f t="shared" si="9"/>
        <v>0.22727272727272727</v>
      </c>
      <c r="Z13" s="98">
        <v>2</v>
      </c>
      <c r="AA13">
        <f t="shared" si="10"/>
        <v>4.5454545454545456E-2</v>
      </c>
      <c r="AB13" s="98">
        <v>4</v>
      </c>
      <c r="AC13">
        <f t="shared" si="11"/>
        <v>9.0909090909090912E-2</v>
      </c>
      <c r="AD13" s="98">
        <v>2</v>
      </c>
      <c r="AE13">
        <f t="shared" si="12"/>
        <v>4.5454545454545456E-2</v>
      </c>
      <c r="AF13" s="98"/>
      <c r="AH13" s="98">
        <v>19</v>
      </c>
      <c r="AI13">
        <f t="shared" si="14"/>
        <v>0.43181818181818182</v>
      </c>
      <c r="AK13">
        <f t="shared" si="15"/>
        <v>44</v>
      </c>
      <c r="AL13" s="68">
        <f t="shared" si="16"/>
        <v>1</v>
      </c>
    </row>
    <row r="14" spans="1:40" s="72" customFormat="1" ht="50.25" customHeight="1" x14ac:dyDescent="0.35">
      <c r="A14" s="70" t="s">
        <v>125</v>
      </c>
      <c r="B14" s="70" t="s">
        <v>151</v>
      </c>
      <c r="C14" s="70" t="s">
        <v>152</v>
      </c>
      <c r="D14" s="70" t="s">
        <v>150</v>
      </c>
      <c r="E14" s="70" t="s">
        <v>149</v>
      </c>
      <c r="F14" s="96">
        <v>0</v>
      </c>
      <c r="G14">
        <f t="shared" si="0"/>
        <v>0</v>
      </c>
      <c r="H14" s="96">
        <v>1</v>
      </c>
      <c r="I14">
        <f t="shared" si="1"/>
        <v>2.2727272727272728E-2</v>
      </c>
      <c r="J14" s="96">
        <v>4</v>
      </c>
      <c r="K14">
        <f t="shared" si="2"/>
        <v>9.0909090909090912E-2</v>
      </c>
      <c r="L14" s="96">
        <v>2</v>
      </c>
      <c r="M14">
        <f t="shared" si="3"/>
        <v>4.5454545454545456E-2</v>
      </c>
      <c r="N14" s="96">
        <v>0</v>
      </c>
      <c r="O14">
        <f t="shared" si="4"/>
        <v>0</v>
      </c>
      <c r="P14" s="97">
        <v>0</v>
      </c>
      <c r="Q14">
        <f t="shared" si="5"/>
        <v>0</v>
      </c>
      <c r="R14" s="96">
        <v>1</v>
      </c>
      <c r="S14">
        <f t="shared" si="6"/>
        <v>2.2727272727272728E-2</v>
      </c>
      <c r="T14" s="97">
        <v>0</v>
      </c>
      <c r="U14">
        <f t="shared" si="7"/>
        <v>0</v>
      </c>
      <c r="V14" s="96">
        <v>5</v>
      </c>
      <c r="W14">
        <f t="shared" si="8"/>
        <v>0.11363636363636363</v>
      </c>
      <c r="X14" s="97">
        <v>8</v>
      </c>
      <c r="Y14">
        <f t="shared" si="9"/>
        <v>0.18181818181818182</v>
      </c>
      <c r="Z14" s="96">
        <v>2</v>
      </c>
      <c r="AA14">
        <f t="shared" si="10"/>
        <v>4.5454545454545456E-2</v>
      </c>
      <c r="AB14" s="96">
        <v>6</v>
      </c>
      <c r="AC14">
        <f t="shared" si="11"/>
        <v>0.13636363636363635</v>
      </c>
      <c r="AD14" s="96">
        <v>3</v>
      </c>
      <c r="AE14">
        <f t="shared" si="12"/>
        <v>6.8181818181818177E-2</v>
      </c>
      <c r="AF14" s="96"/>
      <c r="AH14" s="97">
        <v>12</v>
      </c>
      <c r="AI14">
        <f t="shared" si="14"/>
        <v>0.27272727272727271</v>
      </c>
      <c r="AJ14" s="70"/>
      <c r="AK14" s="70">
        <f t="shared" si="15"/>
        <v>44</v>
      </c>
      <c r="AL14" s="71">
        <f t="shared" si="16"/>
        <v>1</v>
      </c>
      <c r="AM14" s="70"/>
      <c r="AN14" s="70"/>
    </row>
    <row r="15" spans="1:40" ht="14.5" customHeight="1" x14ac:dyDescent="0.35">
      <c r="E15" t="s">
        <v>153</v>
      </c>
      <c r="F15">
        <f>MIN(F5:F12)</f>
        <v>0</v>
      </c>
      <c r="G15" t="str">
        <f ca="1">G15/$AM$3</f>
        <v/>
      </c>
      <c r="H15">
        <f>MIN(H5:H12)</f>
        <v>0</v>
      </c>
      <c r="I15" t="str">
        <f ca="1">I15/$AM$3</f>
        <v/>
      </c>
      <c r="J15">
        <f>MIN(J5:J12)</f>
        <v>0</v>
      </c>
      <c r="K15" t="str">
        <f ca="1">K15/$AM$3</f>
        <v/>
      </c>
      <c r="L15">
        <f>MIN(L5:L12)</f>
        <v>0</v>
      </c>
      <c r="M15" t="str">
        <f ca="1">M15/$AM$3</f>
        <v/>
      </c>
      <c r="N15">
        <f>MIN(N5:N12)</f>
        <v>0</v>
      </c>
      <c r="O15" t="str">
        <f ca="1">O15/$AM$3</f>
        <v/>
      </c>
      <c r="P15">
        <f>MIN(P5:P12)</f>
        <v>0</v>
      </c>
      <c r="Q15" t="str">
        <f ca="1">Q15/$AM$3</f>
        <v/>
      </c>
      <c r="R15">
        <f>MIN(R5:R12)</f>
        <v>0</v>
      </c>
      <c r="S15" t="str">
        <f ca="1">S15/$AM$3</f>
        <v/>
      </c>
      <c r="T15">
        <f>MIN(T5:T12)</f>
        <v>0</v>
      </c>
      <c r="U15" t="str">
        <f ca="1">U15/$AM$3</f>
        <v/>
      </c>
      <c r="V15">
        <f>MIN(V5:V12)</f>
        <v>0</v>
      </c>
      <c r="W15" t="str">
        <f ca="1">W15/$AM$3</f>
        <v/>
      </c>
      <c r="X15">
        <f>MIN(X5:X12)</f>
        <v>0</v>
      </c>
      <c r="Y15" t="str">
        <f ca="1">Y15/$AM$3</f>
        <v/>
      </c>
      <c r="Z15">
        <f>MIN(Z5:Z12)</f>
        <v>0</v>
      </c>
      <c r="AA15" t="str">
        <f ca="1">AA15/$AM$3</f>
        <v/>
      </c>
      <c r="AB15">
        <f>MIN(AB5:AB12)</f>
        <v>0</v>
      </c>
      <c r="AC15" t="str">
        <f ca="1">AC15/$AM$3</f>
        <v/>
      </c>
      <c r="AD15">
        <f>MIN(AD5:AD12)</f>
        <v>0</v>
      </c>
      <c r="AE15" t="str">
        <f ca="1">AE15/$AM$3</f>
        <v/>
      </c>
      <c r="AH15">
        <f>MIN(AH5:AH12)</f>
        <v>0</v>
      </c>
      <c r="AI15">
        <f t="shared" si="14"/>
        <v>0</v>
      </c>
    </row>
    <row r="16" spans="1:40" ht="15" customHeight="1" x14ac:dyDescent="0.35">
      <c r="A16" t="s">
        <v>154</v>
      </c>
      <c r="E16" t="s">
        <v>155</v>
      </c>
      <c r="F16">
        <f>MAX(F5:F14)</f>
        <v>4</v>
      </c>
      <c r="G16" t="str">
        <f ca="1">G16/$AM$3</f>
        <v/>
      </c>
      <c r="H16">
        <f>MAX(H5:H14)</f>
        <v>5</v>
      </c>
      <c r="I16" t="str">
        <f ca="1">I16/$AM$3</f>
        <v/>
      </c>
      <c r="J16">
        <f>MAX(J5:J14)</f>
        <v>5</v>
      </c>
      <c r="K16" t="str">
        <f ca="1">K16/$AM$3</f>
        <v/>
      </c>
      <c r="L16">
        <f>MAX(L5:L14)</f>
        <v>12</v>
      </c>
      <c r="M16" t="str">
        <f ca="1">M16/$AM$3</f>
        <v/>
      </c>
      <c r="N16">
        <f>MAX(N5:N14)</f>
        <v>14</v>
      </c>
      <c r="O16" t="str">
        <f ca="1">O16/$AM$3</f>
        <v/>
      </c>
      <c r="P16">
        <f>MAX(P5:P14)</f>
        <v>10</v>
      </c>
      <c r="Q16" t="str">
        <f ca="1">Q16/$AM$3</f>
        <v/>
      </c>
      <c r="R16">
        <f>MAX(R5:R14)</f>
        <v>7</v>
      </c>
      <c r="S16" t="str">
        <f ca="1">S16/$AM$3</f>
        <v/>
      </c>
      <c r="T16">
        <f>MAX(T5:T14)</f>
        <v>8</v>
      </c>
      <c r="U16" t="str">
        <f ca="1">U16/$AM$3</f>
        <v/>
      </c>
      <c r="V16">
        <f>MAX(V5:V14)</f>
        <v>5</v>
      </c>
      <c r="W16" t="str">
        <f ca="1">W16/$AM$3</f>
        <v/>
      </c>
      <c r="X16">
        <f>MAX(X5:X14)</f>
        <v>10</v>
      </c>
      <c r="Y16" t="str">
        <f ca="1">Y16/$AM$3</f>
        <v/>
      </c>
      <c r="Z16">
        <f>MAX(Z5:Z14)</f>
        <v>6</v>
      </c>
      <c r="AA16" t="str">
        <f ca="1">AA16/$AM$3</f>
        <v/>
      </c>
      <c r="AB16">
        <f>MAX(AB5:AB14)</f>
        <v>14</v>
      </c>
      <c r="AC16" t="str">
        <f ca="1">AC16/$AM$3</f>
        <v/>
      </c>
      <c r="AD16">
        <f>MAX(AD5:AD14)</f>
        <v>8</v>
      </c>
      <c r="AE16" t="str">
        <f ca="1">AE16/$AM$3</f>
        <v/>
      </c>
      <c r="AH16">
        <f>MAX(AH5:AH14)</f>
        <v>24</v>
      </c>
      <c r="AI16">
        <f t="shared" si="14"/>
        <v>0.54545454545454541</v>
      </c>
    </row>
    <row r="17" spans="1:35" ht="14.5" customHeight="1" x14ac:dyDescent="0.35">
      <c r="E17" t="s">
        <v>153</v>
      </c>
      <c r="F17">
        <f>MIN(F5:F14)</f>
        <v>0</v>
      </c>
      <c r="G17" t="str">
        <f ca="1">G17/$AM$3</f>
        <v/>
      </c>
      <c r="H17">
        <f>MIN(H5:H14)</f>
        <v>0</v>
      </c>
      <c r="I17" t="str">
        <f ca="1">I17/$AM$3</f>
        <v/>
      </c>
      <c r="J17">
        <f>MIN(J5:J14)</f>
        <v>0</v>
      </c>
      <c r="K17" t="str">
        <f ca="1">K17/$AM$3</f>
        <v/>
      </c>
      <c r="L17">
        <f>MIN(L5:L14)</f>
        <v>0</v>
      </c>
      <c r="M17" t="str">
        <f ca="1">M17/$AM$3</f>
        <v/>
      </c>
      <c r="N17">
        <f>MIN(N5:N14)</f>
        <v>0</v>
      </c>
      <c r="O17" t="str">
        <f ca="1">O17/$AM$3</f>
        <v/>
      </c>
      <c r="P17">
        <f>MIN(P5:P14)</f>
        <v>0</v>
      </c>
      <c r="Q17" t="str">
        <f ca="1">Q17/$AM$3</f>
        <v/>
      </c>
      <c r="R17">
        <f>MIN(R5:R14)</f>
        <v>0</v>
      </c>
      <c r="S17" t="str">
        <f ca="1">S17/$AM$3</f>
        <v/>
      </c>
      <c r="T17">
        <f>MIN(T5:T14)</f>
        <v>0</v>
      </c>
      <c r="U17" t="str">
        <f ca="1">U17/$AM$3</f>
        <v/>
      </c>
      <c r="V17">
        <f>MIN(V5:V14)</f>
        <v>0</v>
      </c>
      <c r="W17" t="str">
        <f ca="1">W17/$AM$3</f>
        <v/>
      </c>
      <c r="X17">
        <f>MIN(X5:X14)</f>
        <v>0</v>
      </c>
      <c r="Y17" t="str">
        <f ca="1">Y17/$AM$3</f>
        <v/>
      </c>
      <c r="Z17">
        <f>MIN(Z5:Z14)</f>
        <v>0</v>
      </c>
      <c r="AA17" t="str">
        <f ca="1">AA17/$AM$3</f>
        <v/>
      </c>
      <c r="AB17">
        <f>MIN(AB5:AB14)</f>
        <v>0</v>
      </c>
      <c r="AC17" t="str">
        <f ca="1">AC17/$AM$3</f>
        <v/>
      </c>
      <c r="AD17">
        <f>MIN(AD5:AD14)</f>
        <v>0</v>
      </c>
      <c r="AE17" t="str">
        <f ca="1">AE17/$AM$3</f>
        <v/>
      </c>
      <c r="AH17">
        <f>MIN(AH5:AH14)</f>
        <v>0</v>
      </c>
      <c r="AI17">
        <f t="shared" si="14"/>
        <v>0</v>
      </c>
    </row>
    <row r="18" spans="1:35" ht="14.5" customHeight="1" x14ac:dyDescent="0.35">
      <c r="A18" t="s">
        <v>156</v>
      </c>
      <c r="E18" t="s">
        <v>157</v>
      </c>
      <c r="F18">
        <f>MEDIAN(F5:F14)</f>
        <v>0</v>
      </c>
      <c r="G18" t="str">
        <f ca="1">G18/$AM$3</f>
        <v/>
      </c>
      <c r="H18">
        <f>MEDIAN(H5:H14)</f>
        <v>1.5</v>
      </c>
      <c r="I18" t="str">
        <f ca="1">I18/$AM$3</f>
        <v/>
      </c>
      <c r="J18">
        <f>MEDIAN(J5:J14)</f>
        <v>0</v>
      </c>
      <c r="K18" t="str">
        <f ca="1">K18/$AM$3</f>
        <v/>
      </c>
      <c r="L18">
        <f>MEDIAN(L5:L14)</f>
        <v>2</v>
      </c>
      <c r="M18" t="str">
        <f ca="1">M18/$AM$3</f>
        <v/>
      </c>
      <c r="N18">
        <f>MEDIAN(N5:N14)</f>
        <v>0</v>
      </c>
      <c r="O18" t="str">
        <f ca="1">O18/$AM$3</f>
        <v/>
      </c>
      <c r="P18">
        <f>MEDIAN(P5:P14)</f>
        <v>0</v>
      </c>
      <c r="Q18" t="str">
        <f ca="1">Q18/$AM$3</f>
        <v/>
      </c>
      <c r="R18">
        <f>MEDIAN(R5:R14)</f>
        <v>2</v>
      </c>
      <c r="S18" t="str">
        <f ca="1">S18/$AM$3</f>
        <v/>
      </c>
      <c r="T18">
        <f>MEDIAN(T5:T14)</f>
        <v>0</v>
      </c>
      <c r="U18" t="str">
        <f ca="1">U18/$AM$3</f>
        <v/>
      </c>
      <c r="V18">
        <f>MEDIAN(V5:V14)</f>
        <v>2.5</v>
      </c>
      <c r="W18" t="str">
        <f ca="1">W18/$AM$3</f>
        <v/>
      </c>
      <c r="X18">
        <f>MEDIAN(X5:X14)</f>
        <v>3</v>
      </c>
      <c r="Y18" t="str">
        <f ca="1">Y18/$AM$3</f>
        <v/>
      </c>
      <c r="Z18">
        <f>MEDIAN(Z5:Z14)</f>
        <v>2</v>
      </c>
      <c r="AA18" t="str">
        <f ca="1">AA18/$AM$3</f>
        <v/>
      </c>
      <c r="AB18">
        <f>MEDIAN(AB5:AB14)</f>
        <v>3</v>
      </c>
      <c r="AC18" t="str">
        <f ca="1">AC18/$AM$3</f>
        <v/>
      </c>
      <c r="AD18">
        <f>MEDIAN(AD5:AD14)</f>
        <v>2.5</v>
      </c>
      <c r="AE18" t="str">
        <f ca="1">AE18/$AM$3</f>
        <v/>
      </c>
      <c r="AH18">
        <f>MEDIAN(AH5:AH14)</f>
        <v>12</v>
      </c>
      <c r="AI18">
        <f t="shared" si="14"/>
        <v>0.27272727272727271</v>
      </c>
    </row>
    <row r="19" spans="1:35" ht="14.5" customHeight="1" x14ac:dyDescent="0.35"/>
    <row r="20" spans="1:35" ht="14.5" x14ac:dyDescent="0.35">
      <c r="A20" t="s">
        <v>158</v>
      </c>
    </row>
    <row r="21" spans="1:35" ht="14.5" x14ac:dyDescent="0.35"/>
  </sheetData>
  <autoFilter ref="A4:AL12" xr:uid="{00000000-0009-0000-0000-000002000000}"/>
  <mergeCells count="21">
    <mergeCell ref="AL3:AL4"/>
    <mergeCell ref="X3:Y3"/>
    <mergeCell ref="Z3:AA3"/>
    <mergeCell ref="R3:S3"/>
    <mergeCell ref="AH3:AJ3"/>
    <mergeCell ref="T3:U3"/>
    <mergeCell ref="V3:W3"/>
    <mergeCell ref="AB3:AC3"/>
    <mergeCell ref="AD3:AE3"/>
    <mergeCell ref="AF3:AG3"/>
    <mergeCell ref="L2:S2"/>
    <mergeCell ref="AK3:AK4"/>
    <mergeCell ref="F2:K2"/>
    <mergeCell ref="Z2:AE2"/>
    <mergeCell ref="F3:G3"/>
    <mergeCell ref="L3:M3"/>
    <mergeCell ref="N3:O3"/>
    <mergeCell ref="T2:Y2"/>
    <mergeCell ref="H3:I3"/>
    <mergeCell ref="J3:K3"/>
    <mergeCell ref="P3:Q3"/>
  </mergeCells>
  <conditionalFormatting sqref="G6:G9 I6:I9 K6:K9 M6:M9 O6:O9 Q6:Q9 S6:S9 U6:U9 W6:W9 Y6:Y9 AA6:AA9 AC6:AC9 AE6:AE9 AG6:AG9 AI6:AI9">
    <cfRule type="colorScale" priority="5">
      <colorScale>
        <cfvo type="min"/>
        <cfvo type="percentile" val="50"/>
        <cfvo type="max"/>
        <color rgb="FF5A8AC6"/>
        <color rgb="FFFCFCFF"/>
        <color rgb="FFF8696B"/>
      </colorScale>
    </cfRule>
  </conditionalFormatting>
  <conditionalFormatting sqref="G10:G12 I10:I12 K10:K12 M10:M12 O10:O12 Q10:Q12 S10:S12 U10:U12 W10:W12 Y10:Y12 AA10:AA12 AC10:AC12 AE10:AE12 AG10:AG12 AI10:AI12">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1640625"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6"/>
  <sheetViews>
    <sheetView workbookViewId="0">
      <selection activeCell="D3" sqref="D3"/>
    </sheetView>
  </sheetViews>
  <sheetFormatPr baseColWidth="10" defaultColWidth="11.453125" defaultRowHeight="14.5" x14ac:dyDescent="0.35"/>
  <cols>
    <col min="1" max="3" width="11.453125" style="5" customWidth="1"/>
    <col min="4" max="4" width="21.54296875" style="5" customWidth="1"/>
    <col min="5" max="6" width="16.453125" style="5" customWidth="1"/>
    <col min="7" max="7" width="14.54296875" style="5" bestFit="1" customWidth="1"/>
    <col min="8" max="8" width="9.1796875" style="5" customWidth="1"/>
    <col min="9" max="9" width="36" style="5" customWidth="1"/>
    <col min="10" max="10" width="25" style="5" bestFit="1" customWidth="1"/>
    <col min="11" max="11" width="14.81640625" style="5" customWidth="1"/>
    <col min="12" max="17" width="11.453125" style="5" customWidth="1"/>
    <col min="18" max="16384" width="11.453125" style="5"/>
  </cols>
  <sheetData>
    <row r="1" spans="2:10" ht="29" customHeight="1" x14ac:dyDescent="0.35">
      <c r="B1" s="42" t="s">
        <v>159</v>
      </c>
      <c r="C1" s="42" t="s">
        <v>160</v>
      </c>
      <c r="D1" s="42" t="s">
        <v>161</v>
      </c>
      <c r="E1" s="42" t="s">
        <v>162</v>
      </c>
      <c r="F1" s="42" t="s">
        <v>163</v>
      </c>
      <c r="G1" s="42" t="s">
        <v>164</v>
      </c>
      <c r="H1" s="42" t="s">
        <v>165</v>
      </c>
      <c r="I1" s="42" t="s">
        <v>166</v>
      </c>
    </row>
    <row r="2" spans="2:10" ht="72.5" customHeight="1" x14ac:dyDescent="0.35">
      <c r="B2" s="6" t="s">
        <v>167</v>
      </c>
      <c r="C2" s="6" t="s">
        <v>168</v>
      </c>
      <c r="D2" s="6" t="s">
        <v>169</v>
      </c>
      <c r="E2" s="6">
        <v>2</v>
      </c>
      <c r="F2" s="6" t="s">
        <v>170</v>
      </c>
      <c r="G2" s="6" t="s">
        <v>171</v>
      </c>
      <c r="H2" s="7" t="s">
        <v>172</v>
      </c>
      <c r="I2" s="8" t="s">
        <v>173</v>
      </c>
      <c r="J2" s="9"/>
    </row>
    <row r="3" spans="2:10" ht="58" customHeight="1" x14ac:dyDescent="0.35">
      <c r="B3" s="6" t="s">
        <v>167</v>
      </c>
      <c r="C3" s="6" t="s">
        <v>174</v>
      </c>
      <c r="D3" s="6" t="s">
        <v>175</v>
      </c>
      <c r="E3" s="6">
        <v>1.5</v>
      </c>
      <c r="F3" s="6" t="s">
        <v>176</v>
      </c>
      <c r="G3" s="6" t="s">
        <v>177</v>
      </c>
      <c r="H3" s="7" t="s">
        <v>178</v>
      </c>
      <c r="I3" s="8" t="s">
        <v>179</v>
      </c>
      <c r="J3" s="9"/>
    </row>
    <row r="4" spans="2:10" ht="29" customHeight="1" x14ac:dyDescent="0.35">
      <c r="B4" s="6" t="s">
        <v>167</v>
      </c>
      <c r="C4" s="6" t="s">
        <v>168</v>
      </c>
      <c r="D4" s="6" t="s">
        <v>180</v>
      </c>
      <c r="E4" s="10">
        <v>0</v>
      </c>
      <c r="F4" s="6" t="s">
        <v>181</v>
      </c>
      <c r="G4" s="6" t="s">
        <v>182</v>
      </c>
      <c r="H4" s="7" t="s">
        <v>183</v>
      </c>
      <c r="I4" s="8"/>
      <c r="J4" s="9"/>
    </row>
    <row r="5" spans="2:10" ht="130.5" customHeight="1" x14ac:dyDescent="0.35">
      <c r="B5" s="11" t="s">
        <v>167</v>
      </c>
      <c r="C5" s="11" t="s">
        <v>168</v>
      </c>
      <c r="D5" s="11" t="s">
        <v>184</v>
      </c>
      <c r="E5" s="11">
        <v>1</v>
      </c>
      <c r="F5" s="12" t="s">
        <v>185</v>
      </c>
      <c r="G5" s="12" t="s">
        <v>186</v>
      </c>
      <c r="H5" s="13" t="s">
        <v>172</v>
      </c>
      <c r="I5" s="14" t="s">
        <v>187</v>
      </c>
      <c r="J5" s="9" t="s">
        <v>188</v>
      </c>
    </row>
    <row r="6" spans="2:10" ht="58" customHeight="1" x14ac:dyDescent="0.35">
      <c r="B6" s="6" t="s">
        <v>167</v>
      </c>
      <c r="C6" s="6" t="s">
        <v>174</v>
      </c>
      <c r="D6" s="6" t="s">
        <v>189</v>
      </c>
      <c r="E6" s="6">
        <v>1</v>
      </c>
      <c r="F6" s="6" t="s">
        <v>185</v>
      </c>
      <c r="G6" s="6" t="s">
        <v>190</v>
      </c>
      <c r="H6" s="7" t="s">
        <v>178</v>
      </c>
      <c r="I6" s="8" t="s">
        <v>191</v>
      </c>
      <c r="J6" s="9"/>
    </row>
    <row r="7" spans="2:10" ht="58" customHeight="1" x14ac:dyDescent="0.35">
      <c r="B7" s="6" t="s">
        <v>167</v>
      </c>
      <c r="C7" s="6" t="s">
        <v>174</v>
      </c>
      <c r="D7" s="6" t="s">
        <v>192</v>
      </c>
      <c r="E7" s="6">
        <v>4</v>
      </c>
      <c r="F7" s="6" t="s">
        <v>193</v>
      </c>
      <c r="G7" s="6" t="s">
        <v>194</v>
      </c>
      <c r="H7" s="7" t="s">
        <v>178</v>
      </c>
      <c r="I7" s="8" t="s">
        <v>195</v>
      </c>
      <c r="J7" s="9"/>
    </row>
    <row r="8" spans="2:10" ht="15" customHeight="1" x14ac:dyDescent="0.35">
      <c r="B8" s="6" t="s">
        <v>167</v>
      </c>
      <c r="C8" s="15" t="s">
        <v>174</v>
      </c>
      <c r="D8" s="15" t="s">
        <v>196</v>
      </c>
      <c r="E8" s="16">
        <v>40</v>
      </c>
      <c r="F8" s="6" t="s">
        <v>194</v>
      </c>
      <c r="G8" s="6" t="s">
        <v>194</v>
      </c>
      <c r="H8" s="7" t="s">
        <v>178</v>
      </c>
      <c r="I8" s="17" t="s">
        <v>197</v>
      </c>
      <c r="J8" s="9" t="s">
        <v>198</v>
      </c>
    </row>
    <row r="9" spans="2:10" ht="87" customHeight="1" x14ac:dyDescent="0.35">
      <c r="B9" s="6" t="s">
        <v>167</v>
      </c>
      <c r="C9" s="15" t="s">
        <v>174</v>
      </c>
      <c r="D9" s="15" t="s">
        <v>199</v>
      </c>
      <c r="E9" s="16" t="s">
        <v>200</v>
      </c>
      <c r="F9" s="6" t="s">
        <v>182</v>
      </c>
      <c r="G9" s="6" t="s">
        <v>194</v>
      </c>
      <c r="H9" s="7" t="s">
        <v>178</v>
      </c>
      <c r="I9" s="17" t="s">
        <v>201</v>
      </c>
      <c r="J9" s="9" t="s">
        <v>202</v>
      </c>
    </row>
    <row r="10" spans="2:10" ht="87" customHeight="1" x14ac:dyDescent="0.35">
      <c r="B10" s="6" t="s">
        <v>167</v>
      </c>
      <c r="C10" s="15" t="s">
        <v>174</v>
      </c>
      <c r="D10" s="18" t="s">
        <v>203</v>
      </c>
      <c r="E10" s="16">
        <v>1</v>
      </c>
      <c r="F10" s="6" t="s">
        <v>193</v>
      </c>
      <c r="G10" s="6" t="s">
        <v>194</v>
      </c>
      <c r="H10" s="7" t="s">
        <v>178</v>
      </c>
      <c r="I10" s="17" t="s">
        <v>204</v>
      </c>
      <c r="J10" s="9"/>
    </row>
    <row r="11" spans="2:10" ht="101.5" customHeight="1" x14ac:dyDescent="0.35">
      <c r="B11" s="6" t="s">
        <v>205</v>
      </c>
      <c r="C11" s="15" t="s">
        <v>168</v>
      </c>
      <c r="D11" s="15" t="s">
        <v>206</v>
      </c>
      <c r="E11" s="16">
        <v>2</v>
      </c>
      <c r="F11" s="6" t="s">
        <v>207</v>
      </c>
      <c r="G11" s="6" t="s">
        <v>208</v>
      </c>
      <c r="H11" s="7" t="s">
        <v>172</v>
      </c>
      <c r="I11" s="8" t="s">
        <v>209</v>
      </c>
      <c r="J11" s="9"/>
    </row>
    <row r="12" spans="2:10" ht="29" customHeight="1" x14ac:dyDescent="0.35">
      <c r="B12" s="6" t="s">
        <v>205</v>
      </c>
      <c r="C12" s="6" t="s">
        <v>168</v>
      </c>
      <c r="D12" s="6" t="s">
        <v>210</v>
      </c>
      <c r="E12" s="6">
        <v>4</v>
      </c>
      <c r="F12" s="6" t="s">
        <v>193</v>
      </c>
      <c r="G12" s="6" t="s">
        <v>211</v>
      </c>
      <c r="H12" s="7" t="s">
        <v>172</v>
      </c>
      <c r="I12" s="8" t="s">
        <v>212</v>
      </c>
      <c r="J12" s="9"/>
    </row>
    <row r="13" spans="2:10" ht="29" customHeight="1" x14ac:dyDescent="0.35">
      <c r="B13" s="6" t="s">
        <v>205</v>
      </c>
      <c r="C13" s="6" t="s">
        <v>168</v>
      </c>
      <c r="D13" s="6" t="s">
        <v>213</v>
      </c>
      <c r="E13" s="6">
        <v>1</v>
      </c>
      <c r="F13" s="6" t="s">
        <v>214</v>
      </c>
      <c r="G13" s="6" t="s">
        <v>215</v>
      </c>
      <c r="H13" s="7" t="s">
        <v>216</v>
      </c>
      <c r="I13" s="8" t="s">
        <v>217</v>
      </c>
      <c r="J13" s="9"/>
    </row>
    <row r="14" spans="2:10" ht="29" customHeight="1" x14ac:dyDescent="0.35">
      <c r="B14" s="6" t="s">
        <v>205</v>
      </c>
      <c r="C14" s="6" t="s">
        <v>168</v>
      </c>
      <c r="D14" s="6" t="s">
        <v>218</v>
      </c>
      <c r="E14" s="6">
        <v>1</v>
      </c>
      <c r="F14" s="6" t="s">
        <v>219</v>
      </c>
      <c r="G14" s="6" t="s">
        <v>220</v>
      </c>
      <c r="H14" s="7" t="s">
        <v>172</v>
      </c>
      <c r="I14" s="8" t="s">
        <v>221</v>
      </c>
      <c r="J14" s="9"/>
    </row>
    <row r="15" spans="2:10" ht="43.5" customHeight="1" x14ac:dyDescent="0.35">
      <c r="B15" s="6" t="s">
        <v>205</v>
      </c>
      <c r="C15" s="6" t="s">
        <v>168</v>
      </c>
      <c r="D15" s="6" t="s">
        <v>222</v>
      </c>
      <c r="E15" s="6">
        <v>4</v>
      </c>
      <c r="F15" s="6" t="s">
        <v>223</v>
      </c>
      <c r="G15" s="12" t="s">
        <v>220</v>
      </c>
      <c r="H15" s="7" t="s">
        <v>172</v>
      </c>
      <c r="I15" s="8" t="s">
        <v>224</v>
      </c>
      <c r="J15" s="9"/>
    </row>
    <row r="16" spans="2:10" ht="101.5" customHeight="1" x14ac:dyDescent="0.35">
      <c r="B16" s="6" t="s">
        <v>205</v>
      </c>
      <c r="C16" s="6" t="s">
        <v>174</v>
      </c>
      <c r="D16" s="6" t="s">
        <v>225</v>
      </c>
      <c r="E16" s="6">
        <v>5</v>
      </c>
      <c r="F16" s="6" t="s">
        <v>207</v>
      </c>
      <c r="G16" s="6" t="s">
        <v>226</v>
      </c>
      <c r="H16" s="7" t="s">
        <v>172</v>
      </c>
      <c r="I16" s="19" t="s">
        <v>227</v>
      </c>
      <c r="J16" s="9"/>
    </row>
    <row r="17" spans="2:11" ht="87" customHeight="1" x14ac:dyDescent="0.35">
      <c r="B17" s="20" t="s">
        <v>205</v>
      </c>
      <c r="C17" s="20" t="s">
        <v>174</v>
      </c>
      <c r="D17" s="20" t="s">
        <v>228</v>
      </c>
      <c r="E17" s="20">
        <v>15</v>
      </c>
      <c r="F17" s="6" t="s">
        <v>223</v>
      </c>
      <c r="G17" s="6" t="s">
        <v>229</v>
      </c>
      <c r="H17" s="7" t="s">
        <v>172</v>
      </c>
      <c r="I17" s="8" t="s">
        <v>230</v>
      </c>
      <c r="J17" s="9"/>
    </row>
    <row r="18" spans="2:11" ht="29" customHeight="1" x14ac:dyDescent="0.35">
      <c r="B18" s="6" t="s">
        <v>205</v>
      </c>
      <c r="C18" s="6" t="s">
        <v>174</v>
      </c>
      <c r="D18" s="6" t="s">
        <v>231</v>
      </c>
      <c r="E18" s="6">
        <v>4</v>
      </c>
      <c r="F18" s="6" t="s">
        <v>193</v>
      </c>
      <c r="G18" s="6" t="s">
        <v>226</v>
      </c>
      <c r="H18" s="7" t="s">
        <v>172</v>
      </c>
      <c r="I18" s="8" t="s">
        <v>232</v>
      </c>
      <c r="J18" s="9"/>
    </row>
    <row r="19" spans="2:11" ht="87" customHeight="1" x14ac:dyDescent="0.35">
      <c r="B19" s="20" t="s">
        <v>205</v>
      </c>
      <c r="C19" s="20" t="s">
        <v>174</v>
      </c>
      <c r="D19" s="20" t="s">
        <v>233</v>
      </c>
      <c r="E19" s="20">
        <v>5</v>
      </c>
      <c r="F19" s="6" t="s">
        <v>207</v>
      </c>
      <c r="G19" s="20" t="s">
        <v>234</v>
      </c>
      <c r="H19" s="21" t="s">
        <v>172</v>
      </c>
      <c r="I19" s="19" t="s">
        <v>201</v>
      </c>
      <c r="J19" s="9"/>
    </row>
    <row r="20" spans="2:11" ht="87" customHeight="1" x14ac:dyDescent="0.35">
      <c r="B20" s="6" t="s">
        <v>235</v>
      </c>
      <c r="C20" s="6" t="s">
        <v>168</v>
      </c>
      <c r="D20" s="6" t="s">
        <v>236</v>
      </c>
      <c r="E20" s="6">
        <v>4.5</v>
      </c>
      <c r="F20" s="12" t="s">
        <v>237</v>
      </c>
      <c r="G20" s="12" t="s">
        <v>238</v>
      </c>
      <c r="H20" s="7" t="s">
        <v>239</v>
      </c>
      <c r="I20" s="8" t="s">
        <v>240</v>
      </c>
      <c r="J20" s="9"/>
    </row>
    <row r="21" spans="2:11" ht="130.5" customHeight="1" x14ac:dyDescent="0.35">
      <c r="B21" s="20" t="s">
        <v>235</v>
      </c>
      <c r="C21" s="20" t="s">
        <v>168</v>
      </c>
      <c r="D21" s="20" t="s">
        <v>241</v>
      </c>
      <c r="E21" s="20">
        <v>6.5</v>
      </c>
      <c r="F21" s="12" t="s">
        <v>237</v>
      </c>
      <c r="G21" s="12" t="s">
        <v>242</v>
      </c>
      <c r="H21" s="13" t="s">
        <v>243</v>
      </c>
      <c r="I21" s="8" t="s">
        <v>244</v>
      </c>
      <c r="J21" s="9" t="s">
        <v>245</v>
      </c>
      <c r="K21" s="22" t="s">
        <v>246</v>
      </c>
    </row>
    <row r="22" spans="2:11" ht="29" customHeight="1" x14ac:dyDescent="0.35">
      <c r="B22" s="6" t="s">
        <v>235</v>
      </c>
      <c r="C22" s="6" t="s">
        <v>168</v>
      </c>
      <c r="D22" s="6" t="s">
        <v>247</v>
      </c>
      <c r="E22" s="6">
        <v>1</v>
      </c>
      <c r="F22" s="12" t="s">
        <v>248</v>
      </c>
      <c r="G22" s="12" t="s">
        <v>249</v>
      </c>
      <c r="H22" s="13" t="s">
        <v>250</v>
      </c>
      <c r="I22" s="8" t="s">
        <v>251</v>
      </c>
      <c r="J22" s="9"/>
      <c r="K22" s="23"/>
    </row>
    <row r="23" spans="2:11" ht="72.5" customHeight="1" x14ac:dyDescent="0.35">
      <c r="B23" s="6" t="s">
        <v>235</v>
      </c>
      <c r="C23" s="6" t="s">
        <v>168</v>
      </c>
      <c r="D23" s="6" t="s">
        <v>252</v>
      </c>
      <c r="E23" s="6">
        <v>5.5</v>
      </c>
      <c r="F23" s="12" t="s">
        <v>253</v>
      </c>
      <c r="G23" s="12" t="s">
        <v>238</v>
      </c>
      <c r="H23" s="13" t="s">
        <v>254</v>
      </c>
      <c r="I23" s="8" t="s">
        <v>255</v>
      </c>
      <c r="J23" s="9" t="s">
        <v>256</v>
      </c>
      <c r="K23" s="23"/>
    </row>
    <row r="24" spans="2:11" ht="72.5" customHeight="1" x14ac:dyDescent="0.35">
      <c r="B24" s="6" t="s">
        <v>235</v>
      </c>
      <c r="C24" s="6" t="s">
        <v>168</v>
      </c>
      <c r="D24" s="6" t="s">
        <v>257</v>
      </c>
      <c r="E24" s="6">
        <v>9</v>
      </c>
      <c r="F24" s="12" t="s">
        <v>253</v>
      </c>
      <c r="G24" s="12" t="s">
        <v>258</v>
      </c>
      <c r="H24" s="13" t="s">
        <v>259</v>
      </c>
      <c r="I24" s="8" t="s">
        <v>260</v>
      </c>
      <c r="J24" s="9" t="s">
        <v>261</v>
      </c>
    </row>
    <row r="25" spans="2:11" ht="87" customHeight="1" x14ac:dyDescent="0.35">
      <c r="B25" s="6" t="s">
        <v>235</v>
      </c>
      <c r="C25" s="6" t="s">
        <v>174</v>
      </c>
      <c r="D25" s="6" t="s">
        <v>262</v>
      </c>
      <c r="E25" s="6">
        <v>3.5</v>
      </c>
      <c r="F25" s="12" t="s">
        <v>263</v>
      </c>
      <c r="G25" s="12" t="s">
        <v>237</v>
      </c>
      <c r="H25" s="13" t="s">
        <v>264</v>
      </c>
      <c r="I25" s="8" t="s">
        <v>265</v>
      </c>
      <c r="J25" s="9" t="s">
        <v>266</v>
      </c>
    </row>
    <row r="26" spans="2:11" ht="72.5" customHeight="1" x14ac:dyDescent="0.35">
      <c r="B26" s="6" t="s">
        <v>235</v>
      </c>
      <c r="C26" s="6" t="s">
        <v>174</v>
      </c>
      <c r="D26" s="6" t="s">
        <v>267</v>
      </c>
      <c r="E26" s="6">
        <v>10</v>
      </c>
      <c r="F26" s="12" t="s">
        <v>263</v>
      </c>
      <c r="G26" s="12" t="s">
        <v>268</v>
      </c>
      <c r="H26" s="13" t="s">
        <v>269</v>
      </c>
      <c r="I26" s="8" t="s">
        <v>270</v>
      </c>
      <c r="J26" s="9" t="s">
        <v>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topLeftCell="F1" workbookViewId="0">
      <selection activeCell="C2" sqref="C2:G14"/>
    </sheetView>
  </sheetViews>
  <sheetFormatPr baseColWidth="10" defaultColWidth="8.7265625" defaultRowHeight="14.5" x14ac:dyDescent="0.35"/>
  <cols>
    <col min="1" max="1" width="5" customWidth="1"/>
    <col min="2" max="2" width="8" customWidth="1"/>
    <col min="3" max="3" width="35" customWidth="1"/>
    <col min="4" max="4" width="45" customWidth="1"/>
    <col min="5" max="5" width="60" customWidth="1"/>
    <col min="6" max="6" width="40" customWidth="1"/>
    <col min="7" max="7" width="80" customWidth="1"/>
  </cols>
  <sheetData>
    <row r="1" spans="1:7" x14ac:dyDescent="0.35">
      <c r="A1" s="94" t="s">
        <v>39</v>
      </c>
      <c r="B1" s="94" t="s">
        <v>40</v>
      </c>
      <c r="C1" s="94" t="s">
        <v>41</v>
      </c>
      <c r="D1" s="94" t="s">
        <v>42</v>
      </c>
      <c r="E1" s="94" t="s">
        <v>43</v>
      </c>
      <c r="F1" s="94" t="s">
        <v>44</v>
      </c>
      <c r="G1" s="94" t="s">
        <v>45</v>
      </c>
    </row>
    <row r="2" spans="1:7" x14ac:dyDescent="0.35">
      <c r="A2">
        <v>1</v>
      </c>
      <c r="C2" t="s">
        <v>46</v>
      </c>
      <c r="D2" t="s">
        <v>47</v>
      </c>
      <c r="E2" t="s">
        <v>48</v>
      </c>
      <c r="F2" t="s">
        <v>49</v>
      </c>
      <c r="G2" t="s">
        <v>272</v>
      </c>
    </row>
    <row r="3" spans="1:7" x14ac:dyDescent="0.35">
      <c r="A3">
        <v>2</v>
      </c>
      <c r="C3" t="s">
        <v>51</v>
      </c>
      <c r="D3" t="s">
        <v>52</v>
      </c>
      <c r="E3" t="s">
        <v>53</v>
      </c>
      <c r="F3" t="s">
        <v>54</v>
      </c>
      <c r="G3" t="s">
        <v>55</v>
      </c>
    </row>
    <row r="4" spans="1:7" x14ac:dyDescent="0.35">
      <c r="A4">
        <v>3</v>
      </c>
      <c r="C4" t="s">
        <v>56</v>
      </c>
      <c r="D4" t="s">
        <v>57</v>
      </c>
      <c r="E4" t="s">
        <v>58</v>
      </c>
      <c r="F4" t="s">
        <v>59</v>
      </c>
      <c r="G4" t="s">
        <v>273</v>
      </c>
    </row>
    <row r="5" spans="1:7" x14ac:dyDescent="0.35">
      <c r="A5">
        <v>4</v>
      </c>
      <c r="C5" t="s">
        <v>61</v>
      </c>
      <c r="D5" t="s">
        <v>62</v>
      </c>
      <c r="E5" t="s">
        <v>63</v>
      </c>
      <c r="F5" t="s">
        <v>64</v>
      </c>
      <c r="G5" t="s">
        <v>65</v>
      </c>
    </row>
    <row r="6" spans="1:7" x14ac:dyDescent="0.35">
      <c r="A6">
        <v>5</v>
      </c>
      <c r="C6" t="s">
        <v>66</v>
      </c>
      <c r="D6" t="s">
        <v>67</v>
      </c>
      <c r="E6" t="s">
        <v>68</v>
      </c>
      <c r="F6" t="s">
        <v>274</v>
      </c>
      <c r="G6" t="s">
        <v>70</v>
      </c>
    </row>
    <row r="7" spans="1:7" x14ac:dyDescent="0.35">
      <c r="A7">
        <v>6</v>
      </c>
      <c r="C7" t="s">
        <v>71</v>
      </c>
      <c r="D7" t="s">
        <v>72</v>
      </c>
      <c r="E7" t="s">
        <v>73</v>
      </c>
      <c r="F7" t="s">
        <v>275</v>
      </c>
      <c r="G7" t="s">
        <v>276</v>
      </c>
    </row>
    <row r="8" spans="1:7" x14ac:dyDescent="0.35">
      <c r="A8">
        <v>7</v>
      </c>
      <c r="C8" t="s">
        <v>75</v>
      </c>
      <c r="D8" t="s">
        <v>76</v>
      </c>
      <c r="E8" t="s">
        <v>77</v>
      </c>
      <c r="F8" t="s">
        <v>98</v>
      </c>
      <c r="G8" t="s">
        <v>277</v>
      </c>
    </row>
    <row r="9" spans="1:7" x14ac:dyDescent="0.35">
      <c r="A9">
        <v>8</v>
      </c>
      <c r="C9" t="s">
        <v>80</v>
      </c>
      <c r="D9" t="s">
        <v>81</v>
      </c>
      <c r="E9" t="s">
        <v>82</v>
      </c>
      <c r="F9" t="s">
        <v>83</v>
      </c>
      <c r="G9" t="s">
        <v>84</v>
      </c>
    </row>
    <row r="10" spans="1:7" x14ac:dyDescent="0.35">
      <c r="A10">
        <v>9</v>
      </c>
      <c r="C10" t="s">
        <v>85</v>
      </c>
      <c r="D10" t="s">
        <v>86</v>
      </c>
      <c r="E10" t="s">
        <v>87</v>
      </c>
      <c r="F10" t="s">
        <v>88</v>
      </c>
      <c r="G10" t="s">
        <v>278</v>
      </c>
    </row>
    <row r="11" spans="1:7" x14ac:dyDescent="0.35">
      <c r="A11">
        <v>10</v>
      </c>
      <c r="C11" t="s">
        <v>90</v>
      </c>
      <c r="D11" t="s">
        <v>91</v>
      </c>
      <c r="E11" t="s">
        <v>92</v>
      </c>
      <c r="F11" t="s">
        <v>93</v>
      </c>
      <c r="G11" t="s">
        <v>279</v>
      </c>
    </row>
    <row r="12" spans="1:7" x14ac:dyDescent="0.35">
      <c r="A12">
        <v>11</v>
      </c>
      <c r="C12" t="s">
        <v>95</v>
      </c>
      <c r="D12" t="s">
        <v>96</v>
      </c>
      <c r="E12" t="s">
        <v>97</v>
      </c>
      <c r="F12" t="s">
        <v>98</v>
      </c>
      <c r="G12" t="s">
        <v>280</v>
      </c>
    </row>
    <row r="13" spans="1:7" x14ac:dyDescent="0.35">
      <c r="A13">
        <v>12</v>
      </c>
      <c r="C13" t="s">
        <v>100</v>
      </c>
      <c r="D13" t="s">
        <v>101</v>
      </c>
      <c r="E13" t="s">
        <v>281</v>
      </c>
      <c r="F13" t="s">
        <v>103</v>
      </c>
      <c r="G13" t="s">
        <v>282</v>
      </c>
    </row>
    <row r="14" spans="1:7" x14ac:dyDescent="0.35">
      <c r="A14">
        <v>13</v>
      </c>
      <c r="C14" t="s">
        <v>105</v>
      </c>
      <c r="D14" t="s">
        <v>106</v>
      </c>
      <c r="E14" t="s">
        <v>107</v>
      </c>
      <c r="F14" t="s">
        <v>283</v>
      </c>
      <c r="G14" t="s">
        <v>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Instrucción</vt:lpstr>
      <vt:lpstr>Value Stream - AT</vt:lpstr>
      <vt:lpstr>FTE´s</vt:lpstr>
      <vt:lpstr>Hoja1</vt:lpstr>
      <vt:lpstr>otros</vt:lpstr>
      <vt:lpstr>13 etapas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Araceli Olmedo (Chile)</dc:creator>
  <cp:lastModifiedBy>Daniela Valdebenito (Chile)</cp:lastModifiedBy>
  <dcterms:created xsi:type="dcterms:W3CDTF">2025-05-30T13:48:20Z</dcterms:created>
  <dcterms:modified xsi:type="dcterms:W3CDTF">2026-02-16T19:59:48Z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0x010100917C0C9056241149880FCEEBBDD5687F</vt:lpwstr>
  </property>
  <property fmtid="{D5CDD505-2E9C-101B-9397-08002B2CF9AE}" pid="3" name="MSIP_Label_b24820e8-223f-4ed2-bd95-81c83f641284_Enabled">
    <vt:lpwstr>true</vt:lpwstr>
  </property>
  <property fmtid="{D5CDD505-2E9C-101B-9397-08002B2CF9AE}" pid="4" name="MSIP_Label_b24820e8-223f-4ed2-bd95-81c83f641284_SetDate">
    <vt:lpwstr>2025-06-02T15:42:27Z</vt:lpwstr>
  </property>
  <property fmtid="{D5CDD505-2E9C-101B-9397-08002B2CF9AE}" pid="5" name="MSIP_Label_b24820e8-223f-4ed2-bd95-81c83f641284_Method">
    <vt:lpwstr>Standard</vt:lpwstr>
  </property>
  <property fmtid="{D5CDD505-2E9C-101B-9397-08002B2CF9AE}" pid="6" name="MSIP_Label_b24820e8-223f-4ed2-bd95-81c83f641284_Name">
    <vt:lpwstr>b24820e8-223f-4ed2-bd95-81c83f641284</vt:lpwstr>
  </property>
  <property fmtid="{D5CDD505-2E9C-101B-9397-08002B2CF9AE}" pid="7" name="MSIP_Label_b24820e8-223f-4ed2-bd95-81c83f641284_SiteId">
    <vt:lpwstr>3cbcc3d3-094d-4006-9849-0d11d61f484d</vt:lpwstr>
  </property>
  <property fmtid="{D5CDD505-2E9C-101B-9397-08002B2CF9AE}" pid="8" name="MSIP_Label_b24820e8-223f-4ed2-bd95-81c83f641284_ActionId">
    <vt:lpwstr>11a5924c-099f-4c2e-b4a2-960ad240dc75</vt:lpwstr>
  </property>
  <property fmtid="{D5CDD505-2E9C-101B-9397-08002B2CF9AE}" pid="9" name="MSIP_Label_b24820e8-223f-4ed2-bd95-81c83f641284_ContentBits">
    <vt:lpwstr>0</vt:lpwstr>
  </property>
  <property fmtid="{D5CDD505-2E9C-101B-9397-08002B2CF9AE}" pid="10" name="MSIP_Label_b24820e8-223f-4ed2-bd95-81c83f641284_Tag">
    <vt:lpwstr>10, 3, 0, 1</vt:lpwstr>
  </property>
  <property fmtid="{D5CDD505-2E9C-101B-9397-08002B2CF9AE}" pid="11" name="Order">
    <vt:r8>1400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MediaServiceImageTags">
    <vt:lpwstr/>
  </property>
</Properties>
</file>