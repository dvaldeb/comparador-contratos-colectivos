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https://my.wal-mart.com/personal/dvaldeb_cl_wal-mart_com/Documents/Escritorio/"/>
    </mc:Choice>
  </mc:AlternateContent>
  <xr:revisionPtr revIDLastSave="0" documentId="8_{7955BBA6-61AF-41C3-B39D-548704F5F65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ción" sheetId="2" r:id="rId1"/>
    <sheet name="Value Stream - AT" sheetId="3" r:id="rId2"/>
    <sheet name="FTE´s" sheetId="1" r:id="rId3"/>
    <sheet name="Hoja1" sheetId="6" r:id="rId4"/>
    <sheet name="otros" sheetId="5" state="hidden" r:id="rId5"/>
  </sheets>
  <definedNames>
    <definedName name="_xlnm._FilterDatabase" localSheetId="2" hidden="1">FTE´s!$A$4:$AL$12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" l="1"/>
  <c r="AM9" i="1" s="1"/>
  <c r="AN9" i="1" s="1"/>
  <c r="AK6" i="1"/>
  <c r="AM6" i="1" s="1"/>
  <c r="AN6" i="1" s="1"/>
  <c r="AK7" i="1"/>
  <c r="AM7" i="1" s="1"/>
  <c r="AN7" i="1" s="1"/>
  <c r="AK8" i="1"/>
  <c r="AM8" i="1" s="1"/>
  <c r="AN8" i="1" s="1"/>
  <c r="AK5" i="1"/>
  <c r="AF12" i="1"/>
  <c r="AG12" i="1" s="1"/>
  <c r="AF11" i="1"/>
  <c r="AG11" i="1" s="1"/>
  <c r="AF10" i="1"/>
  <c r="AG10" i="1" s="1"/>
  <c r="AD12" i="1"/>
  <c r="AE12" i="1" s="1"/>
  <c r="AD11" i="1"/>
  <c r="AE11" i="1" s="1"/>
  <c r="AD10" i="1"/>
  <c r="AE10" i="1" s="1"/>
  <c r="AB12" i="1"/>
  <c r="AC12" i="1" s="1"/>
  <c r="AB11" i="1"/>
  <c r="AC11" i="1" s="1"/>
  <c r="AB10" i="1"/>
  <c r="AC10" i="1" s="1"/>
  <c r="Z12" i="1"/>
  <c r="AA12" i="1" s="1"/>
  <c r="Z11" i="1"/>
  <c r="AA11" i="1" s="1"/>
  <c r="Z10" i="1"/>
  <c r="AA10" i="1" s="1"/>
  <c r="X12" i="1"/>
  <c r="Y12" i="1" s="1"/>
  <c r="X11" i="1"/>
  <c r="Y11" i="1" s="1"/>
  <c r="X10" i="1"/>
  <c r="Y10" i="1" s="1"/>
  <c r="V12" i="1"/>
  <c r="W12" i="1" s="1"/>
  <c r="V11" i="1"/>
  <c r="W11" i="1" s="1"/>
  <c r="V10" i="1"/>
  <c r="W10" i="1" s="1"/>
  <c r="T12" i="1"/>
  <c r="U12" i="1" s="1"/>
  <c r="T11" i="1"/>
  <c r="U11" i="1" s="1"/>
  <c r="T10" i="1"/>
  <c r="U10" i="1" s="1"/>
  <c r="R12" i="1"/>
  <c r="S12" i="1" s="1"/>
  <c r="R11" i="1"/>
  <c r="S11" i="1" s="1"/>
  <c r="R10" i="1"/>
  <c r="S10" i="1" s="1"/>
  <c r="P12" i="1"/>
  <c r="Q12" i="1" s="1"/>
  <c r="P11" i="1"/>
  <c r="Q11" i="1" s="1"/>
  <c r="P10" i="1"/>
  <c r="Q10" i="1" s="1"/>
  <c r="N12" i="1"/>
  <c r="O12" i="1" s="1"/>
  <c r="N11" i="1"/>
  <c r="O11" i="1" s="1"/>
  <c r="N10" i="1"/>
  <c r="O10" i="1" s="1"/>
  <c r="L12" i="1"/>
  <c r="M12" i="1" s="1"/>
  <c r="L11" i="1"/>
  <c r="M11" i="1" s="1"/>
  <c r="L10" i="1"/>
  <c r="M10" i="1" s="1"/>
  <c r="AH12" i="1"/>
  <c r="AI12" i="1" s="1"/>
  <c r="AH11" i="1"/>
  <c r="AI11" i="1" s="1"/>
  <c r="AH10" i="1"/>
  <c r="AI10" i="1" s="1"/>
  <c r="J12" i="1"/>
  <c r="K12" i="1" s="1"/>
  <c r="H12" i="1"/>
  <c r="I12" i="1" s="1"/>
  <c r="F12" i="1"/>
  <c r="J11" i="1"/>
  <c r="K11" i="1" s="1"/>
  <c r="H11" i="1"/>
  <c r="I11" i="1" s="1"/>
  <c r="F11" i="1"/>
  <c r="J10" i="1"/>
  <c r="K10" i="1" s="1"/>
  <c r="H10" i="1"/>
  <c r="I10" i="1" s="1"/>
  <c r="F10" i="1"/>
  <c r="AI9" i="1" l="1"/>
  <c r="AG9" i="1"/>
  <c r="AE9" i="1"/>
  <c r="AC9" i="1"/>
  <c r="AA9" i="1"/>
  <c r="Y9" i="1"/>
  <c r="W9" i="1"/>
  <c r="U9" i="1"/>
  <c r="S9" i="1"/>
  <c r="Q9" i="1"/>
  <c r="O9" i="1"/>
  <c r="K9" i="1"/>
  <c r="I9" i="1"/>
  <c r="G9" i="1"/>
  <c r="AI6" i="1"/>
  <c r="AG6" i="1"/>
  <c r="AE6" i="1"/>
  <c r="AC6" i="1"/>
  <c r="AA6" i="1"/>
  <c r="Y6" i="1"/>
  <c r="W6" i="1"/>
  <c r="U6" i="1"/>
  <c r="S6" i="1"/>
  <c r="Q6" i="1"/>
  <c r="O6" i="1"/>
  <c r="M6" i="1"/>
  <c r="K6" i="1"/>
  <c r="I6" i="1"/>
  <c r="G6" i="1"/>
  <c r="AK10" i="1"/>
  <c r="G10" i="1"/>
  <c r="AK11" i="1"/>
  <c r="G11" i="1"/>
  <c r="AK12" i="1"/>
  <c r="G12" i="1"/>
  <c r="AI7" i="1"/>
  <c r="AI8" i="1"/>
  <c r="AG7" i="1"/>
  <c r="AG8" i="1"/>
  <c r="AE7" i="1"/>
  <c r="AE8" i="1"/>
  <c r="AC7" i="1"/>
  <c r="AC8" i="1"/>
  <c r="AA7" i="1"/>
  <c r="AA8" i="1"/>
  <c r="Y7" i="1"/>
  <c r="Y8" i="1"/>
  <c r="W7" i="1"/>
  <c r="W8" i="1"/>
  <c r="U7" i="1"/>
  <c r="U8" i="1"/>
  <c r="S7" i="1"/>
  <c r="S8" i="1"/>
  <c r="Q7" i="1"/>
  <c r="Q8" i="1"/>
  <c r="O7" i="1"/>
  <c r="O8" i="1"/>
  <c r="M7" i="1"/>
  <c r="M8" i="1"/>
  <c r="K7" i="1"/>
  <c r="K8" i="1"/>
  <c r="I7" i="1"/>
  <c r="I8" i="1"/>
  <c r="G7" i="1"/>
  <c r="G8" i="1"/>
  <c r="AI5" i="1"/>
  <c r="AG5" i="1"/>
  <c r="AE5" i="1"/>
  <c r="AC5" i="1"/>
  <c r="AA5" i="1"/>
  <c r="Y5" i="1"/>
  <c r="W5" i="1"/>
  <c r="U5" i="1"/>
  <c r="S5" i="1"/>
  <c r="Q5" i="1"/>
  <c r="O5" i="1"/>
  <c r="M5" i="1"/>
  <c r="K5" i="1"/>
  <c r="I5" i="1"/>
  <c r="G5" i="1"/>
  <c r="AL5" i="1" s="1"/>
  <c r="AL7" i="1" l="1"/>
  <c r="AL9" i="1"/>
  <c r="AL8" i="1"/>
  <c r="AL6" i="1"/>
  <c r="AL11" i="1" l="1"/>
  <c r="AL10" i="1"/>
  <c r="AL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tc={EDCFAB93-6E41-4358-9916-608DB9DD9C55}</author>
    <author>tc={C7AB5643-A93B-4D67-AE65-1C48EE213F99}</author>
    <author>tc={0D92C2E8-A60B-4729-A299-03019EE07A37}</author>
    <author>tc={2C8CC090-FDF7-4DBE-A44C-B2F2749628E0}</author>
    <author>tc={41E69C9E-DAEA-4872-90C9-B1C27B6F81E8}</author>
    <author>tc={7D4E8900-8BF6-4FF0-8E40-8692F17A497D}</author>
    <author>tc={168D0C94-9F9A-46F1-B561-B0AD6BEEA8C5}</author>
    <author>tc={370BB293-14C1-4EB9-BA21-E1F65BB7ADF5}</author>
    <author>tc={26A894C6-4AA5-43A4-B333-84BBB365ACB8}</author>
    <author>tc={8A3F1774-7EF0-4207-974B-9C3626FD636F}</author>
    <author>tc={EAA807C1-FF76-41B7-B163-606E6CA6AF85}</author>
    <author>tc={D732FEC3-B77C-4B5D-B081-5E3B01BEFC94}</author>
    <author>tc={B7305A63-89E2-4BCB-BB60-B5B333258DF3}</author>
    <author>tc={493A5D5D-D32A-411D-8215-D7F468AE1CD8}</author>
  </authors>
  <commentList>
    <comment ref="AK3" authorId="0" shapeId="0" xr:uid="{EDCFAB93-6E41-4358-9916-608DB9DD9C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Columna automática</t>
      </text>
    </comment>
    <comment ref="AL3" authorId="1" shapeId="0" xr:uid="{C7AB5643-A93B-4D67-AE65-1C48EE213F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Columna automática</t>
      </text>
    </comment>
    <comment ref="G4" authorId="2" shapeId="0" xr:uid="{0D92C2E8-A60B-4729-A299-03019EE07A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Columna automática</t>
      </text>
    </comment>
    <comment ref="M4" authorId="3" shapeId="0" xr:uid="{2C8CC090-FDF7-4DBE-A44C-B2F2749628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Columna automática</t>
      </text>
    </comment>
    <comment ref="O4" authorId="4" shapeId="0" xr:uid="{41E69C9E-DAEA-4872-90C9-B1C27B6F81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Columna automática</t>
      </text>
    </comment>
    <comment ref="Q4" authorId="5" shapeId="0" xr:uid="{7D4E8900-8BF6-4FF0-8E40-8692F17A49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Columna automática</t>
      </text>
    </comment>
    <comment ref="S4" authorId="6" shapeId="0" xr:uid="{168D0C94-9F9A-46F1-B561-B0AD6BEEA8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Columna automática</t>
      </text>
    </comment>
    <comment ref="U4" authorId="7" shapeId="0" xr:uid="{370BB293-14C1-4EB9-BA21-E1F65BB7AD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Columna automática</t>
      </text>
    </comment>
    <comment ref="W4" authorId="8" shapeId="0" xr:uid="{26A894C6-4AA5-43A4-B333-84BBB365AC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Columna automática</t>
      </text>
    </comment>
    <comment ref="Y4" authorId="9" shapeId="0" xr:uid="{8A3F1774-7EF0-4207-974B-9C3626FD63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Columna automática</t>
      </text>
    </comment>
    <comment ref="AA4" authorId="10" shapeId="0" xr:uid="{EAA807C1-FF76-41B7-B163-606E6CA6AF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Columna automática</t>
      </text>
    </comment>
    <comment ref="AC4" authorId="11" shapeId="0" xr:uid="{D732FEC3-B77C-4B5D-B081-5E3B01BEFC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Columna automática</t>
      </text>
    </comment>
    <comment ref="AE4" authorId="12" shapeId="0" xr:uid="{B7305A63-89E2-4BCB-BB60-B5B333258D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Columna automática</t>
      </text>
    </comment>
    <comment ref="AG4" authorId="13" shapeId="0" xr:uid="{493A5D5D-D32A-411D-8215-D7F468AE1C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Columna automática</t>
      </text>
    </comment>
  </commentList>
</comments>
</file>

<file path=xl/sharedStrings.xml><?xml version="1.0" encoding="utf-8"?>
<sst xmlns="http://schemas.openxmlformats.org/spreadsheetml/2006/main" count="312" uniqueCount="197">
  <si>
    <t>Instrucción para mapear procesos y calcular FTE semanales</t>
  </si>
  <si>
    <t>¿Qué es un mapeo de procesos?</t>
  </si>
  <si>
    <t>Es como hacer un "paso a paso" de todo lo que hacemos en un proceso de trabajo. Nos ayuda a ver qué actividades se hacen, quién las hace y cuánto tiempo toma cada una. Así podemos mejorar, automatizar o simplificar lo que hacemos.</t>
  </si>
  <si>
    <t>📌 PASO 1: Elige el proceso que vas a mapear</t>
  </si>
  <si>
    <t>Ejemplo: “Proceso de contratación de personal” o “Reposición de productos en tienda”.</t>
  </si>
  <si>
    <t>✅ Tip: Empieza por un proceso que conozcas bien o que sea importante para el negocio. Guíate por la  hoja de "Taxonomía de Procesos"</t>
  </si>
  <si>
    <t>📌 PASO 2: Haz una lista de las actividades del proceso</t>
  </si>
  <si>
    <t>Hazlo como si contaras a alguien cómo se hace, paso a paso.</t>
  </si>
  <si>
    <t>Ejemplo:</t>
  </si>
  <si>
    <t>Recibir solicitud de contratación</t>
  </si>
  <si>
    <t>Publicar aviso</t>
  </si>
  <si>
    <t>Filtrar CV</t>
  </si>
  <si>
    <t>Hacer entrevistas</t>
  </si>
  <si>
    <t>Enviar propuesta</t>
  </si>
  <si>
    <t>Ingresar persona al sistema</t>
  </si>
  <si>
    <t>✅ Tip: Puedes hacer esto en una hoja o en una pizarra. Lo importante es que sea claro. Si el proceso es para todos igual, asegura que todos utilicen misma nomenclatura.</t>
  </si>
  <si>
    <t>📌 PASO 3: Para cada actividad, responde estas preguntas:</t>
  </si>
  <si>
    <t>Actividad</t>
  </si>
  <si>
    <t>¿Quién la hace?</t>
  </si>
  <si>
    <t>¿Cuánto tiempo toma cada vez?</t>
  </si>
  <si>
    <t>Analista de selección</t>
  </si>
  <si>
    <t>porcentaje de la semana que están en este tipo de actividad</t>
  </si>
  <si>
    <t>📌 PASO 4: Calcula el total de horas semanales del proceso</t>
  </si>
  <si>
    <t>Suma todas las horas semanales de las actividades del proceso.</t>
  </si>
  <si>
    <t>Filtrar CV: 5 horas</t>
  </si>
  <si>
    <t>Hacer entrevistas: 6 horas</t>
  </si>
  <si>
    <t>Ingresar al sistema: 2 horas</t>
  </si>
  <si>
    <t>Total del proceso: 13 horas</t>
  </si>
  <si>
    <t>✅ Tip: la sumatoria de horas totales semanal no puede ser más de 44</t>
  </si>
  <si>
    <t>📌 PASO 6: Calcula los FTE semanales</t>
  </si>
  <si>
    <r>
      <rPr>
        <sz val="11"/>
        <color rgb="FF000000"/>
        <rFont val="Aptos Narrow"/>
      </rPr>
      <t xml:space="preserve">Un FTE equivale a </t>
    </r>
    <r>
      <rPr>
        <b/>
        <sz val="11"/>
        <color rgb="FF000000"/>
        <rFont val="Aptos Narrow"/>
      </rPr>
      <t>44 horas semanales</t>
    </r>
    <r>
      <rPr>
        <sz val="11"/>
        <color rgb="FF000000"/>
        <rFont val="Aptos Narrow"/>
      </rPr>
      <t xml:space="preserve"> en jornada completa (esto puede variar según tu empresa).</t>
    </r>
  </si>
  <si>
    <t>Fórmula:</t>
  </si>
  <si>
    <t>👉 Total de horas semanales del proceso / 44</t>
  </si>
  <si>
    <r>
      <rPr>
        <sz val="11"/>
        <color rgb="FF000000"/>
        <rFont val="Aptos Narrow"/>
      </rPr>
      <t xml:space="preserve">13 horas / 44 = </t>
    </r>
    <r>
      <rPr>
        <b/>
        <sz val="11"/>
        <color rgb="FF000000"/>
        <rFont val="Aptos Narrow"/>
      </rPr>
      <t>0,29 FTE</t>
    </r>
  </si>
  <si>
    <t>✅ Esto quiere decir que se usa el 29% del tiempo de una persona a jornada completa para hacer ese proceso en una semana.</t>
  </si>
  <si>
    <t>🎯 Resultado final: Mapa de actividades + uso de tiempo</t>
  </si>
  <si>
    <t>Con esto puedes saber:</t>
  </si>
  <si>
    <t>Qué se hace en cada proceso</t>
  </si>
  <si>
    <t>Cuánto tiempo toma</t>
  </si>
  <si>
    <t>N</t>
  </si>
  <si>
    <t>VALOR</t>
  </si>
  <si>
    <t>Etapa</t>
  </si>
  <si>
    <t>Proceso</t>
  </si>
  <si>
    <t>Descripción de la Etapa (Valor Entregado)</t>
  </si>
  <si>
    <t>Responsable</t>
  </si>
  <si>
    <t>Descripción del Proceso</t>
  </si>
  <si>
    <t>COORDINACION INTERNA</t>
  </si>
  <si>
    <t>RECLUTAMIENTO</t>
  </si>
  <si>
    <t>SELECCION</t>
  </si>
  <si>
    <t>CIERRE</t>
  </si>
  <si>
    <t>Rut</t>
  </si>
  <si>
    <t>Nombre</t>
  </si>
  <si>
    <t>Cargo</t>
  </si>
  <si>
    <t>Equipo</t>
  </si>
  <si>
    <t>Jefatura</t>
  </si>
  <si>
    <t>Focos Especificos - Proyectos</t>
  </si>
  <si>
    <r>
      <rPr>
        <b/>
        <sz val="12"/>
        <color rgb="FF000000"/>
        <rFont val="Aptos Narrow"/>
        <scheme val="minor"/>
      </rPr>
      <t xml:space="preserve">TOTAL HRS SEM
</t>
    </r>
    <r>
      <rPr>
        <sz val="10"/>
        <color rgb="FF000000"/>
        <rFont val="Aptos Narrow"/>
        <scheme val="minor"/>
      </rPr>
      <t>(no puede exceder 44 hrs)</t>
    </r>
  </si>
  <si>
    <r>
      <rPr>
        <b/>
        <sz val="12"/>
        <color rgb="FF000000"/>
        <rFont val="Aptos Narrow"/>
        <scheme val="minor"/>
      </rPr>
      <t xml:space="preserve">TOTAL FTE </t>
    </r>
    <r>
      <rPr>
        <sz val="10"/>
        <color rgb="FF000000"/>
        <rFont val="Aptos Narrow"/>
        <scheme val="minor"/>
      </rPr>
      <t>(no puede exceder 100%)</t>
    </r>
  </si>
  <si>
    <t>Hr</t>
  </si>
  <si>
    <t>FTE</t>
  </si>
  <si>
    <t>[Nombre Proyecto] - [Negocio] - [Gerencia]</t>
  </si>
  <si>
    <t>Ejemplo</t>
  </si>
  <si>
    <t>Max</t>
  </si>
  <si>
    <t>Min</t>
  </si>
  <si>
    <t>Mediana</t>
  </si>
  <si>
    <t xml:space="preserve">Consideraciones: El levantamiento de perfil solo ocurre una vez, al igual que la vacante </t>
  </si>
  <si>
    <t xml:space="preserve">Lider </t>
  </si>
  <si>
    <t>Iniciativa</t>
  </si>
  <si>
    <t xml:space="preserve">Nombre </t>
  </si>
  <si>
    <t xml:space="preserve">Horas semanales </t>
  </si>
  <si>
    <t xml:space="preserve">Plazo de inicio </t>
  </si>
  <si>
    <t xml:space="preserve"> Plazo de término</t>
  </si>
  <si>
    <t xml:space="preserve">Estado </t>
  </si>
  <si>
    <t>Comentarios</t>
  </si>
  <si>
    <t xml:space="preserve">Jesu </t>
  </si>
  <si>
    <t>Proyecto</t>
  </si>
  <si>
    <t xml:space="preserve">Workshop Digital
</t>
  </si>
  <si>
    <t>Abril (Finales)</t>
  </si>
  <si>
    <t>Junio (Principios)</t>
  </si>
  <si>
    <t>En proceso</t>
  </si>
  <si>
    <t xml:space="preserve">1 reunión 
1 de planificación - revisión interna del negocio para facilitar ciertas variables que nos permitirián tener un mejor alcance a estos perfiles </t>
  </si>
  <si>
    <t>BAU</t>
  </si>
  <si>
    <t>Mesa de ME</t>
  </si>
  <si>
    <t xml:space="preserve">Febrero </t>
  </si>
  <si>
    <t xml:space="preserve">Diciembre </t>
  </si>
  <si>
    <t>En proceso (Continuo)</t>
  </si>
  <si>
    <t>1  reunión</t>
  </si>
  <si>
    <t xml:space="preserve"> Flujo devolución de 1era y 2da Línea</t>
  </si>
  <si>
    <t xml:space="preserve">Noviembre </t>
  </si>
  <si>
    <t xml:space="preserve">Marzo </t>
  </si>
  <si>
    <t>Cerrado</t>
  </si>
  <si>
    <t xml:space="preserve"> Impulsa tu futuro</t>
  </si>
  <si>
    <t xml:space="preserve">Mayo </t>
  </si>
  <si>
    <t xml:space="preserve">Agosto </t>
  </si>
  <si>
    <t xml:space="preserve">1 reunión semanal para redefinir evento como tal y estrategia de implementación con distintas áreas y llevar a cabo implementación (esto lo vemos nosotros entendiendo que es con enfoque a soporte). Si bien termina en Agosto por que es la fecha en que se da el evento debemos continuar durante los siguientes meses la contratación de los perfiles. </t>
  </si>
  <si>
    <t xml:space="preserve">Esto ya no está cerrado y debería estar en implementación versión 2. </t>
  </si>
  <si>
    <t>ODIN</t>
  </si>
  <si>
    <t xml:space="preserve">Hasta que se incorpore el reemplazo de David </t>
  </si>
  <si>
    <t>1 reunión</t>
  </si>
  <si>
    <t>Gestión de Equipo:</t>
  </si>
  <si>
    <t>Enero</t>
  </si>
  <si>
    <t xml:space="preserve">Durante todo el año </t>
  </si>
  <si>
    <t>1 reunión (reuniones con 3 analistas a cargo y practicante)
4 1:1</t>
  </si>
  <si>
    <t xml:space="preserve">Búsquedas estrategicas </t>
  </si>
  <si>
    <t>5 horas semanales por búsqueda. filtro cvs, mapeo, llamados (no externalizo los llamados, los hago yo), entrevistas de 45 minutosa 1 hora (al menos 3 candidatos a la semana) agendamiento y preparación de PPTS Ejecutivas</t>
  </si>
  <si>
    <t xml:space="preserve">8 procesos </t>
  </si>
  <si>
    <t>Capacity equipo Preparación de ampliadas
Revisión de continuidad de flujos de ferias y eventos de AT- ME</t>
  </si>
  <si>
    <t>1,2</t>
  </si>
  <si>
    <t>Capacity equipo: Análisis capacity, preparación de presentaciones para abrir conversaciones, sostener conversaciones de capacity con PBPS.
Revisión de Rendimiento / Preparación de ampliadas mensuales</t>
  </si>
  <si>
    <t xml:space="preserve">2 horas mensuales previo a la reunión por lo que lo dividi en 30 semanales para ampliada y 30 minutos semanales para seguimiento de otros procesos </t>
  </si>
  <si>
    <t>conversaciones PBP negocios cara visible</t>
  </si>
  <si>
    <t xml:space="preserve">Conversaciones sobre vacantes, complejidades en ciertas búsquedas, y Alertas sobre proyecciones de crecimiento u eficiencia del negocio. A su vez alinemiento con nuevos desafíos del negocio. </t>
  </si>
  <si>
    <t>Coni</t>
  </si>
  <si>
    <t>Mesa de Competencias</t>
  </si>
  <si>
    <t>Marzo</t>
  </si>
  <si>
    <t>Octubre (TBD según lineamientos Internacional) En otro Mercados ya llevan 6 meses.</t>
  </si>
  <si>
    <t>1 hora de mesa semanal
1 hora de preparación próxima mesa.</t>
  </si>
  <si>
    <t>Desafíate</t>
  </si>
  <si>
    <t xml:space="preserve">13 de Julio finaliza Trainee. </t>
  </si>
  <si>
    <t xml:space="preserve">1 reunión aprox
3  gestión </t>
  </si>
  <si>
    <t>Movilidad Interna</t>
  </si>
  <si>
    <t>Fines Mayo</t>
  </si>
  <si>
    <t>Fines Junio</t>
  </si>
  <si>
    <t>Recién Iniciado</t>
  </si>
  <si>
    <t>1 hora de mesa semanal.</t>
  </si>
  <si>
    <t xml:space="preserve"> Ley Protección de Datos</t>
  </si>
  <si>
    <t>Mayo</t>
  </si>
  <si>
    <t>TBD</t>
  </si>
  <si>
    <t xml:space="preserve">1 reunión </t>
  </si>
  <si>
    <t>Licitación Consultoras</t>
  </si>
  <si>
    <t>Abril</t>
  </si>
  <si>
    <t>Coordinación de reuniones, mapeo de mercado nuevas consultoras, reuniones de revisión de demos.</t>
  </si>
  <si>
    <t>Priorización Vacantes</t>
  </si>
  <si>
    <t>Transversal todo el año</t>
  </si>
  <si>
    <t xml:space="preserve"> 30 minutos de reunión
 1 hora de distribución vacantes
3 horas de gestión semanal y preparación próxima reunión. Revisión de data y SLAS para entender vacantes críticas y llegar con actualización semanal a la reunión con PBP Focal</t>
  </si>
  <si>
    <t>Búsquedas estratégicas: 3 actualmente. (2 de HM Comité Ejecutivo)</t>
  </si>
  <si>
    <t>TBD según tiempos del proceso</t>
  </si>
  <si>
    <t xml:space="preserve"> 5 horas semanales por búsqueda. filtro cvs, mapeo, llamados (no externalizo los llamados, los hago yo), entrevistas de 45 minutos (al menos 5 candidatos a la semana) agendamiento y preparación de PPTS Ejecutivas</t>
  </si>
  <si>
    <t>Gestión de Equipo</t>
  </si>
  <si>
    <t>1 reunión
3 1:1</t>
  </si>
  <si>
    <t>Capacity equipo: Análisis capacity, preparación de presentaciones para abrir conversaciones, sostener conversaciones de capacity con PBPS.</t>
  </si>
  <si>
    <t>Tranversal durante el año</t>
  </si>
  <si>
    <t>Nico</t>
  </si>
  <si>
    <t>Potencia tu Talento</t>
  </si>
  <si>
    <t>01.01.2025</t>
  </si>
  <si>
    <t>Semana 09.06.2025</t>
  </si>
  <si>
    <t>Validación Diseño</t>
  </si>
  <si>
    <t>30 minutos reu. sincronizacion 
1:30 hora reuniones de planificación
30 minutos ajuste presentaciones -
 2:00 reunion contrapartes para solicitar soluciones a flujo (Nomina, ME, Pertenencia, ETC)</t>
  </si>
  <si>
    <t>Desafiate</t>
  </si>
  <si>
    <t>Semana 02.06.2025</t>
  </si>
  <si>
    <t>Diseño de cierre</t>
  </si>
  <si>
    <r>
      <t xml:space="preserve">30 minutos de reu. sync,
2 de reu planificacion
1 hora en reuniones de coordinacion intermedias
 30 minutos de reunion presentaicón
</t>
    </r>
    <r>
      <rPr>
        <sz val="11"/>
        <color rgb="FFFF0000"/>
        <rFont val="Aptos Narrow"/>
        <family val="2"/>
        <scheme val="minor"/>
      </rPr>
      <t xml:space="preserve"> 2 horas para resolver problemas emergentes con trainees y LPTs  </t>
    </r>
    <r>
      <rPr>
        <sz val="11"/>
        <color theme="1"/>
        <rFont val="Aptos Narrow"/>
        <family val="2"/>
        <scheme val="minor"/>
      </rPr>
      <t xml:space="preserve">
30 minutos en edición de presentaciones</t>
    </r>
  </si>
  <si>
    <t xml:space="preserve">Qué planifican? 
¿Qué Coordinan? 
En lo destacado en rojo no es lo mismo que hace Coni?Además las soluciones no son de diseño. Cada área debe resover en su espacio y llega a la reunión semanal con la propuesta </t>
  </si>
  <si>
    <t xml:space="preserve">Me confunde el seguimiento de desafiate 1 y el diseño de desafiate 2 </t>
  </si>
  <si>
    <t xml:space="preserve">Programa Oficios </t>
  </si>
  <si>
    <t>14.04.2025</t>
  </si>
  <si>
    <t>31.12.2025</t>
  </si>
  <si>
    <t>Implementación</t>
  </si>
  <si>
    <t>Conversación con ME y equipo AT 30 - reuniòn sync 30 minutos.</t>
  </si>
  <si>
    <t>Encuesta de salida</t>
  </si>
  <si>
    <t>12.05.2025</t>
  </si>
  <si>
    <t>Diseño|</t>
  </si>
  <si>
    <r>
      <rPr>
        <sz val="11"/>
        <color rgb="FFFF0000"/>
        <rFont val="Aptos Narrow"/>
        <family val="2"/>
        <scheme val="minor"/>
      </rPr>
      <t>Revisión PPT a proponer (1hora),</t>
    </r>
    <r>
      <rPr>
        <sz val="11"/>
        <color theme="1"/>
        <rFont val="Aptos Narrow"/>
        <family val="2"/>
        <scheme val="minor"/>
      </rPr>
      <t xml:space="preserve">
Reuniones de coordinación (2 hora) 
Reunión PA (30 minutos)
Reuniòn planificaciòn ECO y AT OP, Revisión encuesta (1 hora), </t>
    </r>
  </si>
  <si>
    <t xml:space="preserve">Todas las semanas revisan 1 hora la PPT a proponer?
Todas las semanas revisan la encuesta 1 hora?  </t>
  </si>
  <si>
    <t>Trainee maquinistas TPM (Plantas Productivas)</t>
  </si>
  <si>
    <t>16.06.2025</t>
  </si>
  <si>
    <t>Diseño</t>
  </si>
  <si>
    <t>2 hora levantamiento  de información (indicadores planta-  1 hora AT OP) 
 2 horas becknmark externo 
 2 horas benchmark interno
 2 horas gestacion de ideas</t>
  </si>
  <si>
    <t xml:space="preserve">Todas las semanas se hacen  4 horas de benchmark?  Cuando termina el benchmark? </t>
  </si>
  <si>
    <t>Gestiòn del día a día</t>
  </si>
  <si>
    <t>Completar</t>
  </si>
  <si>
    <t>Resto del año</t>
  </si>
  <si>
    <t>30 minutos limpieza planner
30 minutos reunión de sincronización
30 minutos envio de minutas de reunión
30 minutos envio de citas
30 minutos de actualizacion excel
1 hora reunión de equipo proyectos</t>
  </si>
  <si>
    <t>Cuáles son los equipos de proyectos con los que te reunes 1 hora?</t>
  </si>
  <si>
    <t>Procesos de selección</t>
  </si>
  <si>
    <t xml:space="preserve">15.03.2025 </t>
  </si>
  <si>
    <t>06.05.2025</t>
  </si>
  <si>
    <t>6 horas en entrevistas
1 hora externalizacion excreeings y analisis, 1 horas screenings directos
2 horasconfección informes para hiring manager</t>
  </si>
  <si>
    <t xml:space="preserve">Cuantos procesos llevas? </t>
  </si>
  <si>
    <t>Planificación</t>
  </si>
  <si>
    <t>Preparación estratégica de la negociación</t>
  </si>
  <si>
    <t>Permitir a la organización anticiparse al proceso de negociación colectiva mediante la definición de estrategia, análisis de impactos y levantamiento de información clave, asegurando preparación legal, económica y operacional.</t>
  </si>
  <si>
    <t>Se identifican sindicatos y fechas de vencimiento de contratos colectivos, se levanta la dotación sindicalizada, se analizan convenios vigentes, se realiza costeo preliminar de beneficios y se define la estrategia negociadora junto al equipo designado.</t>
  </si>
  <si>
    <t>Inicio Formal</t>
  </si>
  <si>
    <t>Recepción de Proyecto / Activación de Negociación</t>
  </si>
  <si>
    <t>Formalizar el inicio del proceso de negociación colectiva, habilitando su revisión legal, análisis económico y planificación de la respuesta organizacional.</t>
  </si>
  <si>
    <t>Relaciones sindicales  Finanzas</t>
  </si>
  <si>
    <t>Se recepciona el proyecto de contrato colectivo en negociaciones regladas o se formaliza la solicitud de negociación en instancias no regladas, se valida jurídicamente el documento y se analizan sus cláusulas económicas y normativas.</t>
  </si>
  <si>
    <t>Comunicación</t>
  </si>
  <si>
    <t>Gestión comunicacional del proceso</t>
  </si>
  <si>
    <t>Alinear a los distintos niveles de la organización respecto del inicio y desarrollo de la negociación, entregando lineamientos claros de actuación y resguardos legales.</t>
  </si>
  <si>
    <t>Relaciones Sindicales,  Operaciones, Comunicaciones Internas</t>
  </si>
  <si>
    <t>Se comunica el inicio de la negociación a la operación, se presentan los alcances del proyecto sindical, se informan restricciones legales y se entregan directrices para la correcta gestión del proceso en locales y áreas de apoyo.</t>
  </si>
  <si>
    <t>Fuero de Negociación</t>
  </si>
  <si>
    <t>Administración y control de fuero labora</t>
  </si>
  <si>
    <t>Resguardar los derechos laborales de los trabajadores involucrados en la negociación, asegurando cumplimiento normativo y mitigando riesgos legales para la organización.</t>
  </si>
  <si>
    <t>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</si>
</sst>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charset val="1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0"/>
      <color rgb="FF000000"/>
      <name val="Aptos Narrow"/>
      <scheme val="minor"/>
    </font>
    <font>
      <i/>
      <sz val="10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6" borderId="6" xfId="0" applyFill="1" applyBorder="1" applyAlignment="1">
      <alignment vertical="center" wrapText="1"/>
    </xf>
    <xf numFmtId="0" fontId="0" fillId="9" borderId="3" xfId="0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wrapText="1"/>
    </xf>
    <xf numFmtId="0" fontId="5" fillId="0" borderId="0" xfId="0" applyFont="1" applyAlignment="1">
      <alignment wrapText="1"/>
    </xf>
    <xf numFmtId="0" fontId="3" fillId="0" borderId="6" xfId="0" applyFont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6" fillId="9" borderId="0" xfId="0" applyFont="1" applyFill="1"/>
    <xf numFmtId="0" fontId="0" fillId="9" borderId="0" xfId="0" applyFill="1"/>
    <xf numFmtId="0" fontId="7" fillId="9" borderId="0" xfId="0" applyFont="1" applyFill="1"/>
    <xf numFmtId="0" fontId="8" fillId="9" borderId="0" xfId="0" applyFont="1" applyFill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2" fillId="10" borderId="11" xfId="0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17" fillId="12" borderId="1" xfId="0" applyFont="1" applyFill="1" applyBorder="1"/>
    <xf numFmtId="2" fontId="17" fillId="12" borderId="11" xfId="0" applyNumberFormat="1" applyFont="1" applyFill="1" applyBorder="1"/>
    <xf numFmtId="9" fontId="17" fillId="12" borderId="11" xfId="0" applyNumberFormat="1" applyFont="1" applyFill="1" applyBorder="1"/>
    <xf numFmtId="0" fontId="17" fillId="12" borderId="0" xfId="0" applyFont="1" applyFill="1"/>
    <xf numFmtId="0" fontId="1" fillId="9" borderId="0" xfId="0" applyFont="1" applyFill="1"/>
    <xf numFmtId="0" fontId="1" fillId="0" borderId="0" xfId="0" applyFont="1" applyAlignment="1">
      <alignment horizontal="right"/>
    </xf>
    <xf numFmtId="2" fontId="1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1" fillId="13" borderId="6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left" vertical="top"/>
    </xf>
    <xf numFmtId="0" fontId="0" fillId="13" borderId="6" xfId="0" applyFill="1" applyBorder="1" applyAlignment="1">
      <alignment horizontal="left" vertical="top" wrapText="1"/>
    </xf>
    <xf numFmtId="0" fontId="11" fillId="13" borderId="6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1" fillId="13" borderId="6" xfId="0" applyFont="1" applyFill="1" applyBorder="1" applyAlignment="1">
      <alignment vertical="top" wrapText="1"/>
    </xf>
    <xf numFmtId="0" fontId="18" fillId="13" borderId="6" xfId="0" applyFont="1" applyFill="1" applyBorder="1" applyAlignment="1">
      <alignment horizontal="left" vertical="top" wrapText="1"/>
    </xf>
    <xf numFmtId="0" fontId="19" fillId="13" borderId="6" xfId="0" applyFont="1" applyFill="1" applyBorder="1" applyAlignment="1">
      <alignment horizontal="left" vertical="top" wrapText="1"/>
    </xf>
    <xf numFmtId="2" fontId="0" fillId="0" borderId="11" xfId="0" applyNumberFormat="1" applyBorder="1" applyAlignment="1">
      <alignment vertical="top"/>
    </xf>
    <xf numFmtId="9" fontId="0" fillId="0" borderId="0" xfId="0" applyNumberFormat="1" applyAlignment="1">
      <alignment horizontal="center"/>
    </xf>
    <xf numFmtId="9" fontId="17" fillId="12" borderId="11" xfId="0" applyNumberFormat="1" applyFont="1" applyFill="1" applyBorder="1" applyAlignment="1">
      <alignment horizontal="center"/>
    </xf>
    <xf numFmtId="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17" fillId="12" borderId="11" xfId="0" applyNumberFormat="1" applyFont="1" applyFill="1" applyBorder="1" applyAlignment="1">
      <alignment horizontal="center"/>
    </xf>
    <xf numFmtId="0" fontId="10" fillId="0" borderId="16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9" fontId="17" fillId="12" borderId="11" xfId="0" applyNumberFormat="1" applyFont="1" applyFill="1" applyBorder="1" applyAlignment="1">
      <alignment vertical="top"/>
    </xf>
    <xf numFmtId="0" fontId="11" fillId="13" borderId="16" xfId="0" applyFont="1" applyFill="1" applyBorder="1" applyAlignment="1">
      <alignment horizontal="center" vertical="top" wrapText="1"/>
    </xf>
    <xf numFmtId="0" fontId="11" fillId="13" borderId="16" xfId="0" applyFont="1" applyFill="1" applyBorder="1" applyAlignment="1">
      <alignment horizontal="left" vertical="top" wrapText="1"/>
    </xf>
    <xf numFmtId="0" fontId="11" fillId="13" borderId="16" xfId="0" applyFont="1" applyFill="1" applyBorder="1" applyAlignment="1">
      <alignment vertical="top" wrapText="1"/>
    </xf>
    <xf numFmtId="0" fontId="19" fillId="13" borderId="16" xfId="0" applyFont="1" applyFill="1" applyBorder="1" applyAlignment="1">
      <alignment horizontal="left" vertical="top" wrapText="1"/>
    </xf>
    <xf numFmtId="0" fontId="0" fillId="13" borderId="16" xfId="0" applyFill="1" applyBorder="1" applyAlignment="1">
      <alignment horizontal="left" vertical="top" wrapText="1"/>
    </xf>
    <xf numFmtId="0" fontId="11" fillId="13" borderId="17" xfId="0" applyFont="1" applyFill="1" applyBorder="1" applyAlignment="1">
      <alignment horizontal="center" vertical="top" wrapText="1"/>
    </xf>
    <xf numFmtId="2" fontId="17" fillId="12" borderId="0" xfId="0" applyNumberFormat="1" applyFont="1" applyFill="1"/>
    <xf numFmtId="9" fontId="17" fillId="12" borderId="14" xfId="0" applyNumberFormat="1" applyFont="1" applyFill="1" applyBorder="1"/>
    <xf numFmtId="9" fontId="0" fillId="0" borderId="0" xfId="0" applyNumberFormat="1" applyAlignment="1">
      <alignment horizontal="center" vertical="center"/>
    </xf>
    <xf numFmtId="2" fontId="17" fillId="0" borderId="11" xfId="0" applyNumberFormat="1" applyFont="1" applyBorder="1" applyAlignment="1">
      <alignment vertical="top" wrapText="1"/>
    </xf>
    <xf numFmtId="0" fontId="21" fillId="0" borderId="0" xfId="0" applyFont="1" applyAlignment="1">
      <alignment horizontal="left" vertical="top"/>
    </xf>
    <xf numFmtId="9" fontId="21" fillId="0" borderId="0" xfId="0" applyNumberFormat="1" applyFont="1" applyAlignment="1">
      <alignment horizontal="left" vertical="top"/>
    </xf>
    <xf numFmtId="0" fontId="21" fillId="0" borderId="0" xfId="0" applyFont="1"/>
    <xf numFmtId="0" fontId="11" fillId="13" borderId="18" xfId="0" applyFont="1" applyFill="1" applyBorder="1" applyAlignment="1">
      <alignment horizontal="left" vertical="top" wrapText="1"/>
    </xf>
    <xf numFmtId="2" fontId="16" fillId="13" borderId="11" xfId="0" applyNumberFormat="1" applyFont="1" applyFill="1" applyBorder="1" applyAlignment="1">
      <alignment vertical="top"/>
    </xf>
    <xf numFmtId="0" fontId="0" fillId="13" borderId="6" xfId="0" applyFill="1" applyBorder="1" applyAlignment="1">
      <alignment horizontal="center" vertical="center"/>
    </xf>
    <xf numFmtId="0" fontId="1" fillId="13" borderId="6" xfId="0" applyFont="1" applyFill="1" applyBorder="1" applyAlignment="1">
      <alignment horizontal="left" vertical="top"/>
    </xf>
    <xf numFmtId="0" fontId="0" fillId="13" borderId="6" xfId="0" applyFill="1" applyBorder="1" applyAlignment="1">
      <alignment horizontal="left" vertical="top"/>
    </xf>
    <xf numFmtId="0" fontId="0" fillId="13" borderId="6" xfId="0" applyFill="1" applyBorder="1" applyAlignment="1">
      <alignment horizontal="center" vertical="top"/>
    </xf>
    <xf numFmtId="0" fontId="0" fillId="13" borderId="6" xfId="0" applyFill="1" applyBorder="1" applyAlignment="1">
      <alignment vertical="top"/>
    </xf>
    <xf numFmtId="0" fontId="0" fillId="0" borderId="0" xfId="0" applyAlignment="1">
      <alignment horizontal="left" vertical="center"/>
    </xf>
    <xf numFmtId="0" fontId="11" fillId="13" borderId="18" xfId="0" applyFont="1" applyFill="1" applyBorder="1" applyAlignment="1">
      <alignment vertical="top" wrapText="1"/>
    </xf>
    <xf numFmtId="0" fontId="0" fillId="13" borderId="0" xfId="0" applyFill="1" applyAlignment="1">
      <alignment horizontal="left" wrapText="1"/>
    </xf>
    <xf numFmtId="0" fontId="0" fillId="13" borderId="3" xfId="0" applyFill="1" applyBorder="1"/>
    <xf numFmtId="0" fontId="11" fillId="13" borderId="3" xfId="0" applyFont="1" applyFill="1" applyBorder="1" applyAlignment="1">
      <alignment horizontal="center" vertical="top" wrapText="1"/>
    </xf>
    <xf numFmtId="0" fontId="11" fillId="13" borderId="3" xfId="0" applyFont="1" applyFill="1" applyBorder="1" applyAlignment="1">
      <alignment vertical="top" wrapText="1"/>
    </xf>
    <xf numFmtId="0" fontId="18" fillId="13" borderId="22" xfId="0" applyFont="1" applyFill="1" applyBorder="1" applyAlignment="1">
      <alignment horizontal="left" vertical="top" wrapText="1"/>
    </xf>
    <xf numFmtId="0" fontId="11" fillId="13" borderId="23" xfId="0" applyFont="1" applyFill="1" applyBorder="1" applyAlignment="1">
      <alignment vertical="top" wrapText="1"/>
    </xf>
    <xf numFmtId="0" fontId="11" fillId="13" borderId="24" xfId="0" applyFont="1" applyFill="1" applyBorder="1" applyAlignment="1">
      <alignment horizontal="center" vertical="top" wrapText="1"/>
    </xf>
    <xf numFmtId="0" fontId="11" fillId="13" borderId="21" xfId="0" applyFont="1" applyFill="1" applyBorder="1" applyAlignment="1">
      <alignment horizontal="left" vertical="top" wrapText="1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2" fillId="3" borderId="11" xfId="0" applyFont="1" applyFill="1" applyBorder="1" applyAlignment="1">
      <alignment horizontal="center" textRotation="90" wrapText="1"/>
    </xf>
    <xf numFmtId="0" fontId="12" fillId="6" borderId="11" xfId="0" applyFont="1" applyFill="1" applyBorder="1" applyAlignment="1">
      <alignment horizontal="center" textRotation="90" wrapText="1"/>
    </xf>
    <xf numFmtId="0" fontId="12" fillId="3" borderId="15" xfId="0" applyFont="1" applyFill="1" applyBorder="1" applyAlignment="1">
      <alignment horizontal="center" textRotation="90" wrapText="1"/>
    </xf>
    <xf numFmtId="0" fontId="12" fillId="4" borderId="12" xfId="0" applyFont="1" applyFill="1" applyBorder="1" applyAlignment="1">
      <alignment horizontal="center" textRotation="90" wrapText="1"/>
    </xf>
    <xf numFmtId="0" fontId="12" fillId="4" borderId="13" xfId="0" applyFont="1" applyFill="1" applyBorder="1" applyAlignment="1">
      <alignment horizontal="center" textRotation="90" wrapText="1"/>
    </xf>
    <xf numFmtId="0" fontId="20" fillId="5" borderId="14" xfId="0" applyFont="1" applyFill="1" applyBorder="1" applyAlignment="1">
      <alignment horizontal="center" vertical="center" wrapText="1"/>
    </xf>
    <xf numFmtId="0" fontId="13" fillId="5" borderId="15" xfId="0" applyFont="1" applyFill="1" applyBorder="1" applyAlignment="1">
      <alignment horizontal="center" vertical="center" wrapText="1"/>
    </xf>
    <xf numFmtId="9" fontId="20" fillId="5" borderId="14" xfId="0" applyNumberFormat="1" applyFont="1" applyFill="1" applyBorder="1" applyAlignment="1">
      <alignment horizontal="center" vertical="center" wrapText="1"/>
    </xf>
    <xf numFmtId="9" fontId="13" fillId="5" borderId="15" xfId="0" applyNumberFormat="1" applyFont="1" applyFill="1" applyBorder="1" applyAlignment="1">
      <alignment horizontal="center" vertical="center" wrapText="1"/>
    </xf>
    <xf numFmtId="0" fontId="12" fillId="6" borderId="20" xfId="0" applyFont="1" applyFill="1" applyBorder="1" applyAlignment="1">
      <alignment horizontal="center" textRotation="90" wrapText="1"/>
    </xf>
    <xf numFmtId="0" fontId="12" fillId="6" borderId="19" xfId="0" applyFont="1" applyFill="1" applyBorder="1" applyAlignment="1">
      <alignment horizontal="center" textRotation="90" wrapText="1"/>
    </xf>
    <xf numFmtId="0" fontId="12" fillId="6" borderId="15" xfId="0" applyFont="1" applyFill="1" applyBorder="1" applyAlignment="1">
      <alignment horizontal="center" textRotation="90" wrapText="1"/>
    </xf>
    <xf numFmtId="0" fontId="0" fillId="0" borderId="6" xfId="0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top"/>
    </xf>
    <xf numFmtId="0" fontId="21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rin Martens (Chile)" id="{8F38FE93-E035-4F54-945D-11D3CEE30927}" userId="S::k0m0a7w@cl.wal-mart.com::bdc84057-6f18-4eb8-b071-b60a9b57a0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K3" dT="2025-05-30T18:35:08.01" personId="{8F38FE93-E035-4F54-945D-11D3CEE30927}" id="{EDCFAB93-6E41-4358-9916-608DB9DD9C55}">
    <text>Columna automática</text>
  </threadedComment>
  <threadedComment ref="AL3" dT="2025-05-30T18:35:12.59" personId="{8F38FE93-E035-4F54-945D-11D3CEE30927}" id="{C7AB5643-A93B-4D67-AE65-1C48EE213F99}">
    <text>Columna automática</text>
  </threadedComment>
  <threadedComment ref="G4" dT="2025-05-30T18:34:32.99" personId="{8F38FE93-E035-4F54-945D-11D3CEE30927}" id="{0D92C2E8-A60B-4729-A299-03019EE07A37}">
    <text>Columna automática</text>
  </threadedComment>
  <threadedComment ref="M4" dT="2025-05-30T18:34:32.99" personId="{8F38FE93-E035-4F54-945D-11D3CEE30927}" id="{2C8CC090-FDF7-4DBE-A44C-B2F2749628E0}">
    <text>Columna automática</text>
  </threadedComment>
  <threadedComment ref="O4" dT="2025-05-30T18:34:32.99" personId="{8F38FE93-E035-4F54-945D-11D3CEE30927}" id="{41E69C9E-DAEA-4872-90C9-B1C27B6F81E8}">
    <text>Columna automática</text>
  </threadedComment>
  <threadedComment ref="Q4" dT="2025-05-30T18:34:32.99" personId="{8F38FE93-E035-4F54-945D-11D3CEE30927}" id="{7D4E8900-8BF6-4FF0-8E40-8692F17A497D}">
    <text>Columna automática</text>
  </threadedComment>
  <threadedComment ref="S4" dT="2025-05-30T18:34:32.99" personId="{8F38FE93-E035-4F54-945D-11D3CEE30927}" id="{168D0C94-9F9A-46F1-B561-B0AD6BEEA8C5}">
    <text>Columna automática</text>
  </threadedComment>
  <threadedComment ref="U4" dT="2025-05-30T18:34:32.99" personId="{8F38FE93-E035-4F54-945D-11D3CEE30927}" id="{370BB293-14C1-4EB9-BA21-E1F65BB7ADF5}">
    <text>Columna automática</text>
  </threadedComment>
  <threadedComment ref="W4" dT="2025-05-30T18:34:32.99" personId="{8F38FE93-E035-4F54-945D-11D3CEE30927}" id="{26A894C6-4AA5-43A4-B333-84BBB365ACB8}">
    <text>Columna automática</text>
  </threadedComment>
  <threadedComment ref="Y4" dT="2025-05-30T18:34:32.99" personId="{8F38FE93-E035-4F54-945D-11D3CEE30927}" id="{8A3F1774-7EF0-4207-974B-9C3626FD636F}">
    <text>Columna automática</text>
  </threadedComment>
  <threadedComment ref="AA4" dT="2025-05-30T18:34:32.99" personId="{8F38FE93-E035-4F54-945D-11D3CEE30927}" id="{EAA807C1-FF76-41B7-B163-606E6CA6AF85}">
    <text>Columna automática</text>
  </threadedComment>
  <threadedComment ref="AC4" dT="2025-05-30T18:34:32.99" personId="{8F38FE93-E035-4F54-945D-11D3CEE30927}" id="{D732FEC3-B77C-4B5D-B081-5E3B01BEFC94}">
    <text>Columna automática</text>
  </threadedComment>
  <threadedComment ref="AE4" dT="2025-05-30T18:34:32.99" personId="{8F38FE93-E035-4F54-945D-11D3CEE30927}" id="{B7305A63-89E2-4BCB-BB60-B5B333258DF3}">
    <text>Columna automática</text>
  </threadedComment>
  <threadedComment ref="AG4" dT="2025-05-30T18:34:32.99" personId="{8F38FE93-E035-4F54-945D-11D3CEE30927}" id="{493A5D5D-D32A-411D-8215-D7F468AE1CD8}">
    <text>Columna automática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BB60-DB4C-442E-A91B-866E881C9D5D}">
  <sheetPr>
    <tabColor theme="3" tint="0.249977111117893"/>
  </sheetPr>
  <dimension ref="A1:C41"/>
  <sheetViews>
    <sheetView topLeftCell="A16" workbookViewId="0">
      <selection activeCell="C43" sqref="C43"/>
    </sheetView>
  </sheetViews>
  <sheetFormatPr baseColWidth="10" defaultColWidth="9.1796875" defaultRowHeight="14.5" x14ac:dyDescent="0.35"/>
  <cols>
    <col min="1" max="1" width="13.81640625" style="25" customWidth="1"/>
    <col min="2" max="2" width="20" style="25" customWidth="1"/>
    <col min="3" max="3" width="32.453125" style="25" customWidth="1"/>
    <col min="4" max="6" width="15.81640625" style="25" customWidth="1"/>
    <col min="7" max="16384" width="9.1796875" style="25"/>
  </cols>
  <sheetData>
    <row r="1" spans="1:2" ht="23.5" x14ac:dyDescent="0.55000000000000004">
      <c r="A1" s="24" t="s">
        <v>0</v>
      </c>
    </row>
    <row r="2" spans="1:2" ht="23.5" x14ac:dyDescent="0.55000000000000004">
      <c r="A2" s="24"/>
    </row>
    <row r="3" spans="1:2" ht="17.5" x14ac:dyDescent="0.4">
      <c r="A3" s="26" t="s">
        <v>1</v>
      </c>
    </row>
    <row r="4" spans="1:2" x14ac:dyDescent="0.35">
      <c r="A4" s="25" t="s">
        <v>2</v>
      </c>
    </row>
    <row r="5" spans="1:2" ht="17.5" x14ac:dyDescent="0.4">
      <c r="A5" s="26" t="s">
        <v>3</v>
      </c>
    </row>
    <row r="6" spans="1:2" x14ac:dyDescent="0.35">
      <c r="A6" s="25" t="s">
        <v>4</v>
      </c>
    </row>
    <row r="7" spans="1:2" x14ac:dyDescent="0.35">
      <c r="A7" s="25" t="s">
        <v>5</v>
      </c>
    </row>
    <row r="8" spans="1:2" ht="17.5" x14ac:dyDescent="0.4">
      <c r="A8" s="26" t="s">
        <v>6</v>
      </c>
    </row>
    <row r="9" spans="1:2" x14ac:dyDescent="0.35">
      <c r="A9" s="25" t="s">
        <v>7</v>
      </c>
    </row>
    <row r="10" spans="1:2" x14ac:dyDescent="0.35">
      <c r="A10" s="25" t="s">
        <v>8</v>
      </c>
    </row>
    <row r="11" spans="1:2" x14ac:dyDescent="0.35">
      <c r="A11" s="25">
        <v>1</v>
      </c>
      <c r="B11" s="25" t="s">
        <v>9</v>
      </c>
    </row>
    <row r="12" spans="1:2" x14ac:dyDescent="0.35">
      <c r="A12" s="25">
        <v>2</v>
      </c>
      <c r="B12" s="25" t="s">
        <v>10</v>
      </c>
    </row>
    <row r="13" spans="1:2" x14ac:dyDescent="0.35">
      <c r="A13" s="25">
        <v>3</v>
      </c>
      <c r="B13" s="25" t="s">
        <v>11</v>
      </c>
    </row>
    <row r="14" spans="1:2" x14ac:dyDescent="0.35">
      <c r="A14" s="25">
        <v>4</v>
      </c>
      <c r="B14" s="25" t="s">
        <v>12</v>
      </c>
    </row>
    <row r="15" spans="1:2" x14ac:dyDescent="0.35">
      <c r="A15" s="25">
        <v>5</v>
      </c>
      <c r="B15" s="25" t="s">
        <v>13</v>
      </c>
    </row>
    <row r="16" spans="1:2" x14ac:dyDescent="0.35">
      <c r="A16" s="25">
        <v>6</v>
      </c>
      <c r="B16" s="25" t="s">
        <v>14</v>
      </c>
    </row>
    <row r="17" spans="1:3" x14ac:dyDescent="0.35">
      <c r="A17" s="25" t="s">
        <v>15</v>
      </c>
    </row>
    <row r="18" spans="1:3" ht="17.5" x14ac:dyDescent="0.4">
      <c r="A18" s="26" t="s">
        <v>16</v>
      </c>
    </row>
    <row r="19" spans="1:3" x14ac:dyDescent="0.35">
      <c r="A19" s="39" t="s">
        <v>17</v>
      </c>
      <c r="B19" s="39" t="s">
        <v>18</v>
      </c>
      <c r="C19" s="39" t="s">
        <v>19</v>
      </c>
    </row>
    <row r="20" spans="1:3" x14ac:dyDescent="0.35">
      <c r="A20" s="25" t="s">
        <v>11</v>
      </c>
      <c r="B20" s="25" t="s">
        <v>20</v>
      </c>
      <c r="C20" s="25" t="s">
        <v>21</v>
      </c>
    </row>
    <row r="21" spans="1:3" ht="17.5" x14ac:dyDescent="0.4">
      <c r="A21" s="26" t="s">
        <v>22</v>
      </c>
    </row>
    <row r="22" spans="1:3" x14ac:dyDescent="0.35">
      <c r="A22" s="25" t="s">
        <v>23</v>
      </c>
    </row>
    <row r="23" spans="1:3" x14ac:dyDescent="0.35">
      <c r="A23" s="25" t="s">
        <v>8</v>
      </c>
    </row>
    <row r="24" spans="1:3" x14ac:dyDescent="0.35">
      <c r="A24" s="25" t="s">
        <v>24</v>
      </c>
    </row>
    <row r="25" spans="1:3" x14ac:dyDescent="0.35">
      <c r="A25" s="25" t="s">
        <v>25</v>
      </c>
    </row>
    <row r="26" spans="1:3" x14ac:dyDescent="0.35">
      <c r="A26" s="25" t="s">
        <v>26</v>
      </c>
    </row>
    <row r="27" spans="1:3" x14ac:dyDescent="0.35">
      <c r="A27" s="39" t="s">
        <v>27</v>
      </c>
    </row>
    <row r="28" spans="1:3" x14ac:dyDescent="0.35">
      <c r="A28" s="25" t="s">
        <v>28</v>
      </c>
    </row>
    <row r="29" spans="1:3" ht="17.5" x14ac:dyDescent="0.4">
      <c r="A29" s="26" t="s">
        <v>29</v>
      </c>
    </row>
    <row r="30" spans="1:3" x14ac:dyDescent="0.35">
      <c r="A30" s="27" t="s">
        <v>30</v>
      </c>
    </row>
    <row r="31" spans="1:3" x14ac:dyDescent="0.35">
      <c r="A31" s="39" t="s">
        <v>31</v>
      </c>
    </row>
    <row r="32" spans="1:3" x14ac:dyDescent="0.35">
      <c r="A32" s="25" t="s">
        <v>32</v>
      </c>
    </row>
    <row r="33" spans="1:1" x14ac:dyDescent="0.35">
      <c r="A33" s="25" t="s">
        <v>8</v>
      </c>
    </row>
    <row r="34" spans="1:1" x14ac:dyDescent="0.35">
      <c r="A34" s="27" t="s">
        <v>33</v>
      </c>
    </row>
    <row r="35" spans="1:1" x14ac:dyDescent="0.35">
      <c r="A35" s="25" t="s">
        <v>34</v>
      </c>
    </row>
    <row r="36" spans="1:1" ht="17.5" x14ac:dyDescent="0.4">
      <c r="A36" s="26" t="s">
        <v>35</v>
      </c>
    </row>
    <row r="37" spans="1:1" x14ac:dyDescent="0.35">
      <c r="A37" s="25" t="s">
        <v>36</v>
      </c>
    </row>
    <row r="38" spans="1:1" x14ac:dyDescent="0.35">
      <c r="A38" s="25" t="s">
        <v>37</v>
      </c>
    </row>
    <row r="39" spans="1:1" x14ac:dyDescent="0.35">
      <c r="A39" s="25" t="s">
        <v>38</v>
      </c>
    </row>
    <row r="41" spans="1:1" ht="17.5" x14ac:dyDescent="0.4">
      <c r="A41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FD0C-B5A1-41D0-B34D-FBCA4B1B1FC0}">
  <sheetPr>
    <tabColor theme="3" tint="0.249977111117893"/>
  </sheetPr>
  <dimension ref="A1:G25"/>
  <sheetViews>
    <sheetView showGridLines="0" tabSelected="1" zoomScale="60" zoomScaleNormal="60" workbookViewId="0">
      <selection activeCell="G5" sqref="G5"/>
    </sheetView>
  </sheetViews>
  <sheetFormatPr baseColWidth="10" defaultColWidth="9.1796875" defaultRowHeight="15" customHeight="1" x14ac:dyDescent="0.35"/>
  <cols>
    <col min="1" max="1" width="9.1796875" style="83"/>
    <col min="2" max="2" width="14.54296875" style="44" customWidth="1"/>
    <col min="3" max="5" width="36.1796875" style="28" customWidth="1"/>
    <col min="6" max="6" width="11.81640625" style="48" customWidth="1"/>
    <col min="7" max="7" width="36.1796875" style="28" customWidth="1"/>
    <col min="8" max="16384" width="9.1796875" style="28"/>
  </cols>
  <sheetData>
    <row r="1" spans="1:7" ht="14.5" x14ac:dyDescent="0.35">
      <c r="A1" s="58" t="s">
        <v>39</v>
      </c>
      <c r="B1" s="58" t="s">
        <v>40</v>
      </c>
      <c r="C1" s="58" t="s">
        <v>41</v>
      </c>
      <c r="D1" s="58" t="s">
        <v>42</v>
      </c>
      <c r="E1" s="58" t="s">
        <v>43</v>
      </c>
      <c r="F1" s="59" t="s">
        <v>44</v>
      </c>
      <c r="G1" s="58" t="s">
        <v>45</v>
      </c>
    </row>
    <row r="2" spans="1:7" ht="101.5" x14ac:dyDescent="0.35">
      <c r="A2" s="43">
        <v>0</v>
      </c>
      <c r="B2" s="43"/>
      <c r="C2" s="43" t="s">
        <v>179</v>
      </c>
      <c r="D2" s="43" t="s">
        <v>180</v>
      </c>
      <c r="E2" s="43" t="s">
        <v>181</v>
      </c>
      <c r="F2" s="47" t="s">
        <v>186</v>
      </c>
      <c r="G2" s="43" t="s">
        <v>182</v>
      </c>
    </row>
    <row r="3" spans="1:7" ht="87" x14ac:dyDescent="0.35">
      <c r="A3" s="43">
        <v>1</v>
      </c>
      <c r="B3" s="64"/>
      <c r="C3" s="64" t="s">
        <v>183</v>
      </c>
      <c r="D3" s="64" t="s">
        <v>184</v>
      </c>
      <c r="E3" s="43" t="s">
        <v>185</v>
      </c>
      <c r="F3" s="47" t="s">
        <v>186</v>
      </c>
      <c r="G3" s="43" t="s">
        <v>187</v>
      </c>
    </row>
    <row r="4" spans="1:7" ht="87" x14ac:dyDescent="0.35">
      <c r="A4" s="43">
        <v>2</v>
      </c>
      <c r="B4" s="87"/>
      <c r="C4" s="86" t="s">
        <v>188</v>
      </c>
      <c r="D4" s="86" t="s">
        <v>189</v>
      </c>
      <c r="E4" s="85" t="s">
        <v>190</v>
      </c>
      <c r="F4" s="47" t="s">
        <v>191</v>
      </c>
      <c r="G4" s="43" t="s">
        <v>192</v>
      </c>
    </row>
    <row r="5" spans="1:7" ht="72.5" x14ac:dyDescent="0.35">
      <c r="A5" s="43">
        <v>3</v>
      </c>
      <c r="B5" s="87"/>
      <c r="C5" s="88" t="s">
        <v>193</v>
      </c>
      <c r="D5" s="92" t="s">
        <v>194</v>
      </c>
      <c r="E5" s="43" t="s">
        <v>195</v>
      </c>
      <c r="F5" s="47" t="s">
        <v>196</v>
      </c>
      <c r="G5" s="43"/>
    </row>
    <row r="6" spans="1:7" ht="18.5" x14ac:dyDescent="0.35">
      <c r="A6" s="43">
        <v>4</v>
      </c>
      <c r="B6" s="68"/>
      <c r="C6" s="84"/>
      <c r="D6" s="50"/>
      <c r="E6" s="77"/>
      <c r="F6" s="47"/>
      <c r="G6" s="43"/>
    </row>
    <row r="7" spans="1:7" ht="18.5" x14ac:dyDescent="0.35">
      <c r="A7" s="43">
        <v>5</v>
      </c>
      <c r="B7" s="87"/>
      <c r="C7" s="90"/>
      <c r="D7" s="50"/>
      <c r="E7" s="43"/>
      <c r="F7" s="47"/>
      <c r="G7" s="43"/>
    </row>
    <row r="8" spans="1:7" ht="18.5" x14ac:dyDescent="0.35">
      <c r="A8" s="43">
        <v>6</v>
      </c>
      <c r="B8" s="91"/>
      <c r="C8" s="88"/>
      <c r="D8" s="89"/>
      <c r="E8" s="77"/>
      <c r="F8" s="47"/>
      <c r="G8" s="43"/>
    </row>
    <row r="9" spans="1:7" ht="93" customHeight="1" x14ac:dyDescent="0.35">
      <c r="A9" s="43">
        <v>7</v>
      </c>
      <c r="B9" s="43"/>
      <c r="C9" s="76"/>
      <c r="D9" s="50"/>
      <c r="E9" s="43"/>
      <c r="F9" s="47"/>
      <c r="G9" s="43"/>
    </row>
    <row r="10" spans="1:7" ht="103.5" customHeight="1" x14ac:dyDescent="0.35">
      <c r="A10" s="43">
        <v>8</v>
      </c>
      <c r="B10" s="43"/>
      <c r="C10" s="43"/>
      <c r="D10" s="50"/>
      <c r="E10" s="43"/>
      <c r="F10" s="47"/>
      <c r="G10" s="43"/>
    </row>
    <row r="11" spans="1:7" ht="103.5" customHeight="1" x14ac:dyDescent="0.35">
      <c r="A11" s="43">
        <v>9</v>
      </c>
      <c r="B11" s="43"/>
      <c r="C11" s="49"/>
      <c r="D11" s="50"/>
      <c r="E11" s="43"/>
      <c r="F11" s="47"/>
      <c r="G11" s="43"/>
    </row>
    <row r="12" spans="1:7" ht="103.5" customHeight="1" x14ac:dyDescent="0.35">
      <c r="A12" s="43">
        <v>10</v>
      </c>
      <c r="B12" s="43"/>
      <c r="C12" s="49"/>
      <c r="D12" s="50"/>
      <c r="E12" s="43"/>
      <c r="F12" s="47"/>
      <c r="G12" s="43"/>
    </row>
    <row r="13" spans="1:7" s="45" customFormat="1" ht="50.25" customHeight="1" x14ac:dyDescent="0.35">
      <c r="A13" s="43">
        <v>11</v>
      </c>
      <c r="B13" s="43"/>
      <c r="C13" s="43"/>
      <c r="D13" s="50"/>
      <c r="E13" s="43"/>
      <c r="F13" s="47"/>
      <c r="G13" s="43"/>
    </row>
    <row r="14" spans="1:7" s="45" customFormat="1" ht="50.25" customHeight="1" x14ac:dyDescent="0.35">
      <c r="A14" s="43">
        <v>12</v>
      </c>
      <c r="B14" s="43"/>
      <c r="C14" s="43"/>
      <c r="D14" s="50"/>
      <c r="E14" s="43"/>
      <c r="F14" s="47"/>
      <c r="G14" s="43"/>
    </row>
    <row r="15" spans="1:7" ht="18.5" x14ac:dyDescent="0.35">
      <c r="A15" s="43">
        <v>13</v>
      </c>
      <c r="B15" s="43"/>
      <c r="C15" s="43"/>
      <c r="D15" s="50"/>
      <c r="E15" s="43"/>
      <c r="F15" s="47"/>
      <c r="G15" s="43"/>
    </row>
    <row r="16" spans="1:7" ht="18.5" x14ac:dyDescent="0.35">
      <c r="A16" s="43">
        <v>14</v>
      </c>
      <c r="B16" s="43"/>
      <c r="C16" s="43"/>
      <c r="D16" s="50"/>
      <c r="E16" s="43"/>
      <c r="F16" s="47"/>
      <c r="G16" s="43"/>
    </row>
    <row r="17" spans="1:7" ht="45.75" customHeight="1" x14ac:dyDescent="0.35">
      <c r="A17" s="43">
        <v>15</v>
      </c>
      <c r="B17" s="43"/>
      <c r="C17" s="43"/>
      <c r="D17" s="50"/>
      <c r="E17" s="43"/>
      <c r="F17" s="47"/>
      <c r="G17" s="43"/>
    </row>
    <row r="18" spans="1:7" ht="45.75" customHeight="1" x14ac:dyDescent="0.35">
      <c r="A18" s="43">
        <v>16</v>
      </c>
      <c r="B18" s="43"/>
      <c r="C18" s="43"/>
      <c r="D18" s="50"/>
      <c r="E18" s="43"/>
      <c r="F18" s="47"/>
      <c r="G18" s="43"/>
    </row>
    <row r="19" spans="1:7" ht="18.5" x14ac:dyDescent="0.35">
      <c r="A19" s="43">
        <v>17</v>
      </c>
      <c r="B19" s="43"/>
      <c r="C19" s="49"/>
      <c r="D19" s="50"/>
      <c r="E19" s="43"/>
      <c r="F19" s="47"/>
      <c r="G19" s="43"/>
    </row>
    <row r="20" spans="1:7" ht="18.5" x14ac:dyDescent="0.35">
      <c r="A20" s="43">
        <v>18</v>
      </c>
      <c r="B20" s="43"/>
      <c r="C20" s="49"/>
      <c r="D20" s="51"/>
      <c r="E20" s="46"/>
      <c r="F20" s="47"/>
      <c r="G20" s="43"/>
    </row>
    <row r="21" spans="1:7" ht="15" customHeight="1" x14ac:dyDescent="0.35">
      <c r="A21" s="43">
        <v>19</v>
      </c>
      <c r="B21" s="64"/>
      <c r="C21" s="65"/>
      <c r="D21" s="66"/>
      <c r="E21" s="67"/>
      <c r="F21" s="63"/>
      <c r="G21" s="64"/>
    </row>
    <row r="22" spans="1:7" ht="15" customHeight="1" x14ac:dyDescent="0.35">
      <c r="A22" s="43">
        <v>20</v>
      </c>
      <c r="B22" s="78"/>
      <c r="C22" s="82"/>
      <c r="D22" s="79"/>
      <c r="E22" s="80"/>
      <c r="F22" s="81"/>
      <c r="G22" s="80"/>
    </row>
    <row r="23" spans="1:7" ht="15" customHeight="1" x14ac:dyDescent="0.35">
      <c r="A23" s="43">
        <v>21</v>
      </c>
      <c r="B23" s="78"/>
      <c r="C23" s="82"/>
      <c r="D23" s="79"/>
      <c r="E23" s="80"/>
      <c r="F23" s="81"/>
      <c r="G23" s="80"/>
    </row>
    <row r="24" spans="1:7" ht="15" customHeight="1" x14ac:dyDescent="0.35">
      <c r="A24" s="43">
        <v>22</v>
      </c>
      <c r="B24" s="78"/>
      <c r="C24" s="82"/>
      <c r="D24" s="79"/>
      <c r="E24" s="80"/>
      <c r="F24" s="81"/>
      <c r="G24" s="80"/>
    </row>
    <row r="25" spans="1:7" ht="15" customHeight="1" x14ac:dyDescent="0.35">
      <c r="A25" s="43">
        <v>23</v>
      </c>
      <c r="B25" s="78"/>
      <c r="C25" s="82"/>
      <c r="D25" s="79"/>
      <c r="E25" s="80"/>
      <c r="F25" s="81"/>
      <c r="G25" s="8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AN16"/>
  <sheetViews>
    <sheetView showGridLines="0" topLeftCell="A3" zoomScale="60" zoomScaleNormal="60" workbookViewId="0">
      <pane xSplit="2" ySplit="1" topLeftCell="C4" activePane="bottomRight" state="frozen"/>
      <selection pane="topRight"/>
      <selection pane="bottomLeft"/>
      <selection pane="bottomRight" activeCell="AJ8" sqref="AJ8"/>
    </sheetView>
  </sheetViews>
  <sheetFormatPr baseColWidth="10" defaultColWidth="11.453125" defaultRowHeight="15" customHeight="1" outlineLevelCol="1" x14ac:dyDescent="0.35"/>
  <cols>
    <col min="1" max="1" width="11.54296875" bestFit="1" customWidth="1"/>
    <col min="2" max="2" width="18" bestFit="1" customWidth="1"/>
    <col min="3" max="3" width="45.1796875" bestFit="1" customWidth="1"/>
    <col min="4" max="4" width="37.54296875" customWidth="1" outlineLevel="1"/>
    <col min="5" max="5" width="42.1796875" customWidth="1" outlineLevel="1"/>
    <col min="6" max="35" width="6.54296875" customWidth="1"/>
    <col min="36" max="36" width="33.1796875" customWidth="1"/>
    <col min="37" max="37" width="12.453125" style="56" bestFit="1" customWidth="1"/>
    <col min="38" max="38" width="11.453125" style="53"/>
  </cols>
  <sheetData>
    <row r="2" spans="1:40" ht="14.5" x14ac:dyDescent="0.35">
      <c r="F2" s="29"/>
      <c r="G2" s="29"/>
      <c r="H2" s="93" t="s">
        <v>46</v>
      </c>
      <c r="I2" s="93"/>
      <c r="J2" s="93"/>
      <c r="K2" s="93"/>
      <c r="L2" s="29"/>
      <c r="M2" s="29"/>
      <c r="N2" s="93" t="s">
        <v>47</v>
      </c>
      <c r="O2" s="93"/>
      <c r="P2" s="93"/>
      <c r="Q2" s="94"/>
      <c r="R2" s="93" t="s">
        <v>48</v>
      </c>
      <c r="S2" s="93"/>
      <c r="T2" s="93"/>
      <c r="U2" s="93"/>
      <c r="V2" s="29"/>
      <c r="W2" s="29"/>
      <c r="X2" s="29"/>
      <c r="Y2" s="29"/>
      <c r="Z2" s="29"/>
      <c r="AA2" s="29"/>
      <c r="AB2" s="93" t="s">
        <v>49</v>
      </c>
      <c r="AC2" s="93"/>
      <c r="AD2" s="93"/>
      <c r="AE2" s="93"/>
      <c r="AF2" s="93"/>
      <c r="AG2" s="93"/>
      <c r="AH2" s="29"/>
      <c r="AI2" s="29"/>
      <c r="AJ2" s="29"/>
    </row>
    <row r="3" spans="1:40" s="2" customFormat="1" ht="122.25" customHeight="1" x14ac:dyDescent="0.35">
      <c r="A3" s="1" t="s">
        <v>50</v>
      </c>
      <c r="B3" s="1" t="s">
        <v>51</v>
      </c>
      <c r="C3" s="1" t="s">
        <v>52</v>
      </c>
      <c r="D3" s="1" t="s">
        <v>53</v>
      </c>
      <c r="E3" s="30" t="s">
        <v>54</v>
      </c>
      <c r="F3" s="95"/>
      <c r="G3" s="95"/>
      <c r="H3" s="97"/>
      <c r="I3" s="97"/>
      <c r="J3" s="97"/>
      <c r="K3" s="97"/>
      <c r="L3" s="95"/>
      <c r="M3" s="95"/>
      <c r="N3" s="97"/>
      <c r="O3" s="97"/>
      <c r="P3" s="104"/>
      <c r="Q3" s="105"/>
      <c r="R3" s="97"/>
      <c r="S3" s="97"/>
      <c r="T3" s="106"/>
      <c r="U3" s="106"/>
      <c r="V3" s="95"/>
      <c r="W3" s="95"/>
      <c r="X3" s="96"/>
      <c r="Y3" s="96"/>
      <c r="Z3" s="95"/>
      <c r="AA3" s="95"/>
      <c r="AB3" s="97"/>
      <c r="AC3" s="97"/>
      <c r="AD3" s="97"/>
      <c r="AE3" s="97"/>
      <c r="AF3" s="97"/>
      <c r="AG3" s="97"/>
      <c r="AH3" s="98" t="s">
        <v>55</v>
      </c>
      <c r="AI3" s="99"/>
      <c r="AJ3" s="99"/>
      <c r="AK3" s="100" t="s">
        <v>56</v>
      </c>
      <c r="AL3" s="102" t="s">
        <v>57</v>
      </c>
      <c r="AM3" s="2">
        <v>44</v>
      </c>
    </row>
    <row r="4" spans="1:40" s="2" customFormat="1" ht="26.25" customHeight="1" x14ac:dyDescent="0.35">
      <c r="A4" s="1"/>
      <c r="B4" s="1"/>
      <c r="C4" s="1"/>
      <c r="D4" s="1"/>
      <c r="E4" s="30"/>
      <c r="F4" s="32" t="s">
        <v>58</v>
      </c>
      <c r="G4" s="31" t="s">
        <v>59</v>
      </c>
      <c r="H4" s="32" t="s">
        <v>58</v>
      </c>
      <c r="I4" s="31" t="s">
        <v>59</v>
      </c>
      <c r="J4" s="32" t="s">
        <v>58</v>
      </c>
      <c r="K4" s="31" t="s">
        <v>59</v>
      </c>
      <c r="L4" s="32" t="s">
        <v>58</v>
      </c>
      <c r="M4" s="31" t="s">
        <v>59</v>
      </c>
      <c r="N4" s="32" t="s">
        <v>58</v>
      </c>
      <c r="O4" s="31" t="s">
        <v>59</v>
      </c>
      <c r="P4" s="32" t="s">
        <v>58</v>
      </c>
      <c r="Q4" s="31" t="s">
        <v>59</v>
      </c>
      <c r="R4" s="32" t="s">
        <v>58</v>
      </c>
      <c r="S4" s="31" t="s">
        <v>59</v>
      </c>
      <c r="T4" s="32" t="s">
        <v>58</v>
      </c>
      <c r="U4" s="31" t="s">
        <v>59</v>
      </c>
      <c r="V4" s="32" t="s">
        <v>58</v>
      </c>
      <c r="W4" s="31" t="s">
        <v>59</v>
      </c>
      <c r="X4" s="32" t="s">
        <v>58</v>
      </c>
      <c r="Y4" s="31" t="s">
        <v>59</v>
      </c>
      <c r="Z4" s="32" t="s">
        <v>58</v>
      </c>
      <c r="AA4" s="31" t="s">
        <v>59</v>
      </c>
      <c r="AB4" s="32" t="s">
        <v>58</v>
      </c>
      <c r="AC4" s="31" t="s">
        <v>59</v>
      </c>
      <c r="AD4" s="32" t="s">
        <v>58</v>
      </c>
      <c r="AE4" s="31" t="s">
        <v>59</v>
      </c>
      <c r="AF4" s="32" t="s">
        <v>58</v>
      </c>
      <c r="AG4" s="31" t="s">
        <v>59</v>
      </c>
      <c r="AH4" s="33" t="s">
        <v>58</v>
      </c>
      <c r="AI4" s="31" t="s">
        <v>59</v>
      </c>
      <c r="AJ4" s="34" t="s">
        <v>60</v>
      </c>
      <c r="AK4" s="101"/>
      <c r="AL4" s="103"/>
      <c r="AN4" s="2">
        <v>5</v>
      </c>
    </row>
    <row r="5" spans="1:40" s="38" customFormat="1" ht="12" hidden="1" x14ac:dyDescent="0.3">
      <c r="A5" s="35" t="s">
        <v>61</v>
      </c>
      <c r="B5" s="35" t="s">
        <v>61</v>
      </c>
      <c r="C5" s="35" t="s">
        <v>61</v>
      </c>
      <c r="D5" s="35" t="s">
        <v>61</v>
      </c>
      <c r="E5" s="35" t="s">
        <v>61</v>
      </c>
      <c r="F5" s="36">
        <v>1</v>
      </c>
      <c r="G5" s="37">
        <f>F5/$AK$5</f>
        <v>2.2727272727272728E-2</v>
      </c>
      <c r="H5" s="36">
        <v>2</v>
      </c>
      <c r="I5" s="37">
        <f>H5/$AK$5</f>
        <v>4.5454545454545456E-2</v>
      </c>
      <c r="J5" s="36">
        <v>3</v>
      </c>
      <c r="K5" s="37">
        <f>J5/$AK$5</f>
        <v>6.8181818181818177E-2</v>
      </c>
      <c r="L5" s="36">
        <v>2</v>
      </c>
      <c r="M5" s="37">
        <f>L5/$AK$5</f>
        <v>4.5454545454545456E-2</v>
      </c>
      <c r="N5" s="36">
        <v>1</v>
      </c>
      <c r="O5" s="37">
        <f>N5/$AK$5</f>
        <v>2.2727272727272728E-2</v>
      </c>
      <c r="P5" s="36">
        <v>1</v>
      </c>
      <c r="Q5" s="37">
        <f>P5/$AK$5</f>
        <v>2.2727272727272728E-2</v>
      </c>
      <c r="R5" s="36">
        <v>1</v>
      </c>
      <c r="S5" s="37">
        <f>R5/$AK$5</f>
        <v>2.2727272727272728E-2</v>
      </c>
      <c r="T5" s="36">
        <v>1</v>
      </c>
      <c r="U5" s="37">
        <f>T5/$AK$5</f>
        <v>2.2727272727272728E-2</v>
      </c>
      <c r="V5" s="36">
        <v>1</v>
      </c>
      <c r="W5" s="37">
        <f>V5/$AK$5</f>
        <v>2.2727272727272728E-2</v>
      </c>
      <c r="X5" s="36">
        <v>2</v>
      </c>
      <c r="Y5" s="37">
        <f>X5/$AK$5</f>
        <v>4.5454545454545456E-2</v>
      </c>
      <c r="Z5" s="36">
        <v>2</v>
      </c>
      <c r="AA5" s="37">
        <f>Z5/$AK$5</f>
        <v>4.5454545454545456E-2</v>
      </c>
      <c r="AB5" s="36">
        <v>2</v>
      </c>
      <c r="AC5" s="37">
        <f>AB5/$AK$5</f>
        <v>4.5454545454545456E-2</v>
      </c>
      <c r="AD5" s="36">
        <v>2</v>
      </c>
      <c r="AE5" s="37">
        <f>AD5/$AK$5</f>
        <v>4.5454545454545456E-2</v>
      </c>
      <c r="AF5" s="36">
        <v>3</v>
      </c>
      <c r="AG5" s="37">
        <f>AF5/$AK$5</f>
        <v>6.8181818181818177E-2</v>
      </c>
      <c r="AH5" s="36">
        <v>20</v>
      </c>
      <c r="AI5" s="37">
        <f>AH5/$AK$5</f>
        <v>0.45454545454545453</v>
      </c>
      <c r="AJ5" s="36"/>
      <c r="AK5" s="57">
        <f>F5+H5+J5+L5+N5+P5+R5+T5+V5+X5+Z5+AB5+AD5+AF5+AH5</f>
        <v>44</v>
      </c>
      <c r="AL5" s="54">
        <f>G5+I5+K5+M5+O5+Q5+S5+U5+W5+Y5+AA5+AC5+AE5+AG5+AI5</f>
        <v>1</v>
      </c>
    </row>
    <row r="6" spans="1:40" s="4" customFormat="1" ht="36" customHeight="1" x14ac:dyDescent="0.3">
      <c r="A6" s="60"/>
      <c r="B6" s="60"/>
      <c r="C6" s="60"/>
      <c r="D6" s="60"/>
      <c r="E6" s="61"/>
      <c r="F6" s="52"/>
      <c r="G6" s="62">
        <f t="shared" ref="G6" si="0">F6/$AK$5</f>
        <v>0</v>
      </c>
      <c r="H6" s="52"/>
      <c r="I6" s="62">
        <f t="shared" ref="I6" si="1">H6/$AK$5</f>
        <v>0</v>
      </c>
      <c r="J6" s="52"/>
      <c r="K6" s="62">
        <f t="shared" ref="K6" si="2">J6/$AK$5</f>
        <v>0</v>
      </c>
      <c r="L6" s="52"/>
      <c r="M6" s="62">
        <f t="shared" ref="M6" si="3">L6/$AK$5</f>
        <v>0</v>
      </c>
      <c r="N6" s="52"/>
      <c r="O6" s="62">
        <f t="shared" ref="O6" si="4">N6/$AK$5</f>
        <v>0</v>
      </c>
      <c r="P6" s="52"/>
      <c r="Q6" s="62">
        <f t="shared" ref="Q6" si="5">P6/$AK$5</f>
        <v>0</v>
      </c>
      <c r="R6" s="52"/>
      <c r="S6" s="62">
        <f t="shared" ref="S6" si="6">R6/$AK$5</f>
        <v>0</v>
      </c>
      <c r="T6" s="52"/>
      <c r="U6" s="62">
        <f t="shared" ref="U6" si="7">T6/$AK$5</f>
        <v>0</v>
      </c>
      <c r="V6" s="52"/>
      <c r="W6" s="62">
        <f t="shared" ref="W6" si="8">V6/$AK$5</f>
        <v>0</v>
      </c>
      <c r="X6" s="52"/>
      <c r="Y6" s="62">
        <f t="shared" ref="Y6" si="9">X6/$AK$5</f>
        <v>0</v>
      </c>
      <c r="Z6" s="52"/>
      <c r="AA6" s="62">
        <f t="shared" ref="AA6" si="10">Z6/$AK$5</f>
        <v>0</v>
      </c>
      <c r="AB6" s="52"/>
      <c r="AC6" s="62">
        <f t="shared" ref="AC6" si="11">AB6/$AK$5</f>
        <v>0</v>
      </c>
      <c r="AD6" s="52"/>
      <c r="AE6" s="62">
        <f t="shared" ref="AE6" si="12">AD6/$AK$5</f>
        <v>0</v>
      </c>
      <c r="AF6" s="52"/>
      <c r="AG6" s="62">
        <f t="shared" ref="AG6" si="13">AF6/$AK$5</f>
        <v>0</v>
      </c>
      <c r="AH6" s="52"/>
      <c r="AI6" s="62">
        <f t="shared" ref="AI6" si="14">AH6/$AK$5</f>
        <v>0</v>
      </c>
      <c r="AJ6" s="72"/>
      <c r="AK6" s="57">
        <f t="shared" ref="AK6:AK7" si="15">F6+H6+J6+L6+N6+P6+R6+T6+V6+X6+Z6+AB6+AD6+AF6+AH6</f>
        <v>0</v>
      </c>
      <c r="AL6" s="54">
        <f t="shared" ref="AL6:AL7" si="16">G6+I6+K6+M6+O6+Q6+S6+U6+W6+Y6+AA6+AC6+AE6+AG6+AI6</f>
        <v>0</v>
      </c>
      <c r="AM6" s="69">
        <f>AK6-$AM$3</f>
        <v>-44</v>
      </c>
      <c r="AN6" s="4">
        <f>AM6/$AN$4</f>
        <v>-8.8000000000000007</v>
      </c>
    </row>
    <row r="7" spans="1:40" s="4" customFormat="1" ht="55.5" customHeight="1" x14ac:dyDescent="0.3">
      <c r="A7" s="60"/>
      <c r="B7" s="60"/>
      <c r="C7" s="60"/>
      <c r="D7" s="60"/>
      <c r="E7" s="61"/>
      <c r="F7" s="52"/>
      <c r="G7" s="62">
        <f t="shared" ref="G7:G12" si="17">F7/$AK$5</f>
        <v>0</v>
      </c>
      <c r="H7" s="52"/>
      <c r="I7" s="62">
        <f t="shared" ref="I7:I12" si="18">H7/$AK$5</f>
        <v>0</v>
      </c>
      <c r="J7" s="52"/>
      <c r="K7" s="62">
        <f t="shared" ref="K7:K12" si="19">J7/$AK$5</f>
        <v>0</v>
      </c>
      <c r="L7" s="52"/>
      <c r="M7" s="62">
        <f t="shared" ref="M7:M12" si="20">L7/$AK$5</f>
        <v>0</v>
      </c>
      <c r="N7" s="52"/>
      <c r="O7" s="62">
        <f t="shared" ref="O7:O12" si="21">N7/$AK$5</f>
        <v>0</v>
      </c>
      <c r="P7" s="52"/>
      <c r="Q7" s="62">
        <f t="shared" ref="Q7:Q12" si="22">P7/$AK$5</f>
        <v>0</v>
      </c>
      <c r="R7" s="52"/>
      <c r="S7" s="62">
        <f t="shared" ref="S7:S12" si="23">R7/$AK$5</f>
        <v>0</v>
      </c>
      <c r="T7" s="52"/>
      <c r="U7" s="62">
        <f t="shared" ref="U7:U12" si="24">T7/$AK$5</f>
        <v>0</v>
      </c>
      <c r="V7" s="52"/>
      <c r="W7" s="62">
        <f t="shared" ref="W7:W12" si="25">V7/$AK$5</f>
        <v>0</v>
      </c>
      <c r="X7" s="52"/>
      <c r="Y7" s="62">
        <f t="shared" ref="Y7:Y12" si="26">X7/$AK$5</f>
        <v>0</v>
      </c>
      <c r="Z7" s="52"/>
      <c r="AA7" s="62">
        <f t="shared" ref="AA7:AA12" si="27">Z7/$AK$5</f>
        <v>0</v>
      </c>
      <c r="AB7" s="52"/>
      <c r="AC7" s="62">
        <f t="shared" ref="AC7:AC12" si="28">AB7/$AK$5</f>
        <v>0</v>
      </c>
      <c r="AD7" s="52"/>
      <c r="AE7" s="62">
        <f t="shared" ref="AE7:AE12" si="29">AD7/$AK$5</f>
        <v>0</v>
      </c>
      <c r="AF7" s="52"/>
      <c r="AG7" s="62">
        <f t="shared" ref="AG7:AG12" si="30">AF7/$AK$5</f>
        <v>0</v>
      </c>
      <c r="AH7" s="52"/>
      <c r="AI7" s="62">
        <f t="shared" ref="AI7:AI12" si="31">AH7/$AK$5</f>
        <v>0</v>
      </c>
      <c r="AJ7" s="72"/>
      <c r="AK7" s="57">
        <f t="shared" si="15"/>
        <v>0</v>
      </c>
      <c r="AL7" s="54">
        <f t="shared" si="16"/>
        <v>0</v>
      </c>
      <c r="AM7" s="69">
        <f>AK7-$AM$3</f>
        <v>-44</v>
      </c>
      <c r="AN7" s="4">
        <f>AM7/$AN$4</f>
        <v>-8.8000000000000007</v>
      </c>
    </row>
    <row r="8" spans="1:40" s="4" customFormat="1" ht="27" customHeight="1" x14ac:dyDescent="0.3">
      <c r="A8" s="60"/>
      <c r="B8" s="60"/>
      <c r="C8" s="60"/>
      <c r="D8" s="60"/>
      <c r="E8" s="61"/>
      <c r="F8" s="52"/>
      <c r="G8" s="62">
        <f t="shared" si="17"/>
        <v>0</v>
      </c>
      <c r="H8" s="52"/>
      <c r="I8" s="62">
        <f t="shared" si="18"/>
        <v>0</v>
      </c>
      <c r="J8" s="52"/>
      <c r="K8" s="62">
        <f t="shared" si="19"/>
        <v>0</v>
      </c>
      <c r="L8" s="52"/>
      <c r="M8" s="62">
        <f t="shared" si="20"/>
        <v>0</v>
      </c>
      <c r="N8" s="52"/>
      <c r="O8" s="62">
        <f t="shared" si="21"/>
        <v>0</v>
      </c>
      <c r="P8" s="52"/>
      <c r="Q8" s="62">
        <f t="shared" si="22"/>
        <v>0</v>
      </c>
      <c r="R8" s="52"/>
      <c r="S8" s="62">
        <f t="shared" si="23"/>
        <v>0</v>
      </c>
      <c r="T8" s="52"/>
      <c r="U8" s="62">
        <f t="shared" si="24"/>
        <v>0</v>
      </c>
      <c r="V8" s="52"/>
      <c r="W8" s="62">
        <f t="shared" si="25"/>
        <v>0</v>
      </c>
      <c r="X8" s="52"/>
      <c r="Y8" s="62">
        <f t="shared" si="26"/>
        <v>0</v>
      </c>
      <c r="Z8" s="52"/>
      <c r="AA8" s="62">
        <f t="shared" si="27"/>
        <v>0</v>
      </c>
      <c r="AB8" s="52"/>
      <c r="AC8" s="62">
        <f t="shared" si="28"/>
        <v>0</v>
      </c>
      <c r="AD8" s="52"/>
      <c r="AE8" s="62">
        <f t="shared" si="29"/>
        <v>0</v>
      </c>
      <c r="AF8" s="52"/>
      <c r="AG8" s="62">
        <f t="shared" si="30"/>
        <v>0</v>
      </c>
      <c r="AH8" s="52"/>
      <c r="AI8" s="62">
        <f t="shared" si="31"/>
        <v>0</v>
      </c>
      <c r="AJ8" s="72"/>
      <c r="AK8" s="57">
        <f t="shared" ref="AK8" si="32">F8+H8+J8+L8+N8+P8+R8+T8+V8+X8+Z8+AB8+AD8+AF8+AH8</f>
        <v>0</v>
      </c>
      <c r="AL8" s="54">
        <f t="shared" ref="AL8" si="33">G8+I8+K8+M8+O8+Q8+S8+U8+W8+Y8+AA8+AC8+AE8+AG8+AI8</f>
        <v>0</v>
      </c>
      <c r="AM8" s="69">
        <f>AK8-$AM$3</f>
        <v>-44</v>
      </c>
      <c r="AN8" s="4">
        <f>AM8/$AN$4</f>
        <v>-8.8000000000000007</v>
      </c>
    </row>
    <row r="9" spans="1:40" s="4" customFormat="1" ht="31.5" customHeight="1" x14ac:dyDescent="0.3">
      <c r="A9" s="60"/>
      <c r="B9" s="60"/>
      <c r="C9" s="60"/>
      <c r="D9" s="60"/>
      <c r="E9" s="61"/>
      <c r="F9" s="52"/>
      <c r="G9" s="62">
        <f>F9/$AK$5</f>
        <v>0</v>
      </c>
      <c r="H9" s="52"/>
      <c r="I9" s="62">
        <f>H9/$AK$5</f>
        <v>0</v>
      </c>
      <c r="J9" s="52"/>
      <c r="K9" s="62">
        <f>J9/$AK$5</f>
        <v>0</v>
      </c>
      <c r="L9" s="52"/>
      <c r="M9" s="62"/>
      <c r="N9" s="52"/>
      <c r="O9" s="62">
        <f>N9/$AK$5</f>
        <v>0</v>
      </c>
      <c r="P9" s="52"/>
      <c r="Q9" s="62">
        <f>P9/$AK$5</f>
        <v>0</v>
      </c>
      <c r="R9" s="52"/>
      <c r="S9" s="62">
        <f>R9/$AK$5</f>
        <v>0</v>
      </c>
      <c r="T9" s="52"/>
      <c r="U9" s="62">
        <f>T9/$AK$5</f>
        <v>0</v>
      </c>
      <c r="V9" s="52"/>
      <c r="W9" s="62">
        <f>V9/$AK$5</f>
        <v>0</v>
      </c>
      <c r="X9" s="52"/>
      <c r="Y9" s="62">
        <f>X9/$AK$5</f>
        <v>0</v>
      </c>
      <c r="Z9" s="52"/>
      <c r="AA9" s="62">
        <f>Z9/$AK$5</f>
        <v>0</v>
      </c>
      <c r="AB9" s="52"/>
      <c r="AC9" s="62">
        <f>AB9/$AK$5</f>
        <v>0</v>
      </c>
      <c r="AD9" s="52"/>
      <c r="AE9" s="62">
        <f>AD9/$AK$5</f>
        <v>0</v>
      </c>
      <c r="AF9" s="52"/>
      <c r="AG9" s="62">
        <f>AF9/$AK$5</f>
        <v>0</v>
      </c>
      <c r="AH9" s="52"/>
      <c r="AI9" s="62">
        <f>AH9/$AK$5</f>
        <v>0</v>
      </c>
      <c r="AJ9" s="72"/>
      <c r="AK9" s="57">
        <f>F9+H9+J9+L9+N9+P9+R9+T9+V9+X9+Z9+AB9+AD9+AF9+AH9</f>
        <v>0</v>
      </c>
      <c r="AL9" s="54">
        <f>G9+I9+K9+M9+O9+Q9+S9+U9+W9+Y9+AA9+AC9+AE9+AG9+AI9</f>
        <v>0</v>
      </c>
      <c r="AM9" s="69">
        <f>AK9-$AM$3</f>
        <v>-44</v>
      </c>
      <c r="AN9" s="4">
        <f>AM9/$AN$4</f>
        <v>-8.8000000000000007</v>
      </c>
    </row>
    <row r="10" spans="1:40" ht="14.5" x14ac:dyDescent="0.35">
      <c r="D10" s="3"/>
      <c r="E10" s="40" t="s">
        <v>62</v>
      </c>
      <c r="F10" s="41">
        <f>MAX(F5:F8)</f>
        <v>1</v>
      </c>
      <c r="G10" s="37">
        <f t="shared" si="17"/>
        <v>2.2727272727272728E-2</v>
      </c>
      <c r="H10" s="41">
        <f>MAX(H5:H8)</f>
        <v>2</v>
      </c>
      <c r="I10" s="37">
        <f t="shared" si="18"/>
        <v>4.5454545454545456E-2</v>
      </c>
      <c r="J10" s="41">
        <f>MAX(J5:J8)</f>
        <v>3</v>
      </c>
      <c r="K10" s="37">
        <f t="shared" si="19"/>
        <v>6.8181818181818177E-2</v>
      </c>
      <c r="L10" s="41">
        <f>MAX(L5:L8)</f>
        <v>2</v>
      </c>
      <c r="M10" s="37">
        <f t="shared" si="20"/>
        <v>4.5454545454545456E-2</v>
      </c>
      <c r="N10" s="41">
        <f>MAX(N5:N8)</f>
        <v>1</v>
      </c>
      <c r="O10" s="37">
        <f t="shared" si="21"/>
        <v>2.2727272727272728E-2</v>
      </c>
      <c r="P10" s="41">
        <f>MAX(P5:P8)</f>
        <v>1</v>
      </c>
      <c r="Q10" s="37">
        <f t="shared" si="22"/>
        <v>2.2727272727272728E-2</v>
      </c>
      <c r="R10" s="41">
        <f>MAX(R5:R8)</f>
        <v>1</v>
      </c>
      <c r="S10" s="37">
        <f t="shared" si="23"/>
        <v>2.2727272727272728E-2</v>
      </c>
      <c r="T10" s="41">
        <f>MAX(T5:T8)</f>
        <v>1</v>
      </c>
      <c r="U10" s="37">
        <f t="shared" si="24"/>
        <v>2.2727272727272728E-2</v>
      </c>
      <c r="V10" s="41">
        <f>MAX(V5:V8)</f>
        <v>1</v>
      </c>
      <c r="W10" s="37">
        <f t="shared" si="25"/>
        <v>2.2727272727272728E-2</v>
      </c>
      <c r="X10" s="41">
        <f>MAX(X5:X8)</f>
        <v>2</v>
      </c>
      <c r="Y10" s="37">
        <f t="shared" si="26"/>
        <v>4.5454545454545456E-2</v>
      </c>
      <c r="Z10" s="41">
        <f>MAX(Z5:Z8)</f>
        <v>2</v>
      </c>
      <c r="AA10" s="37">
        <f t="shared" si="27"/>
        <v>4.5454545454545456E-2</v>
      </c>
      <c r="AB10" s="41">
        <f>MAX(AB5:AB8)</f>
        <v>2</v>
      </c>
      <c r="AC10" s="37">
        <f t="shared" si="28"/>
        <v>4.5454545454545456E-2</v>
      </c>
      <c r="AD10" s="41">
        <f>MAX(AD5:AD8)</f>
        <v>2</v>
      </c>
      <c r="AE10" s="37">
        <f t="shared" si="29"/>
        <v>4.5454545454545456E-2</v>
      </c>
      <c r="AF10" s="41">
        <f>MAX(AF5:AF8)</f>
        <v>3</v>
      </c>
      <c r="AG10" s="37">
        <f t="shared" si="30"/>
        <v>6.8181818181818177E-2</v>
      </c>
      <c r="AH10" s="41">
        <f>MAX(AH5:AH8)</f>
        <v>20</v>
      </c>
      <c r="AI10" s="37">
        <f t="shared" si="31"/>
        <v>0.45454545454545453</v>
      </c>
      <c r="AJ10" s="41"/>
      <c r="AK10" s="57">
        <f t="shared" ref="AK10:AK12" si="34">F10+H10+J10+L10+N10+P10+R10+T10+V10+X10+Z10+AB10+AD10+AF10+AH10</f>
        <v>44</v>
      </c>
      <c r="AL10" s="55">
        <f>MAX(AL5:AL8)</f>
        <v>1</v>
      </c>
    </row>
    <row r="11" spans="1:40" ht="14.5" x14ac:dyDescent="0.35">
      <c r="D11" s="3"/>
      <c r="E11" s="40" t="s">
        <v>63</v>
      </c>
      <c r="F11" s="41">
        <f>MIN(F5:F8)</f>
        <v>1</v>
      </c>
      <c r="G11" s="37">
        <f t="shared" si="17"/>
        <v>2.2727272727272728E-2</v>
      </c>
      <c r="H11" s="41">
        <f>MIN(H5:H8)</f>
        <v>2</v>
      </c>
      <c r="I11" s="37">
        <f t="shared" si="18"/>
        <v>4.5454545454545456E-2</v>
      </c>
      <c r="J11" s="41">
        <f>MIN(J5:J8)</f>
        <v>3</v>
      </c>
      <c r="K11" s="37">
        <f t="shared" si="19"/>
        <v>6.8181818181818177E-2</v>
      </c>
      <c r="L11" s="41">
        <f>MIN(L5:L8)</f>
        <v>2</v>
      </c>
      <c r="M11" s="37">
        <f t="shared" si="20"/>
        <v>4.5454545454545456E-2</v>
      </c>
      <c r="N11" s="41">
        <f>MIN(N5:N8)</f>
        <v>1</v>
      </c>
      <c r="O11" s="37">
        <f t="shared" si="21"/>
        <v>2.2727272727272728E-2</v>
      </c>
      <c r="P11" s="41">
        <f>MIN(P5:P8)</f>
        <v>1</v>
      </c>
      <c r="Q11" s="37">
        <f t="shared" si="22"/>
        <v>2.2727272727272728E-2</v>
      </c>
      <c r="R11" s="41">
        <f>MIN(R5:R8)</f>
        <v>1</v>
      </c>
      <c r="S11" s="37">
        <f t="shared" si="23"/>
        <v>2.2727272727272728E-2</v>
      </c>
      <c r="T11" s="41">
        <f>MIN(T5:T8)</f>
        <v>1</v>
      </c>
      <c r="U11" s="37">
        <f t="shared" si="24"/>
        <v>2.2727272727272728E-2</v>
      </c>
      <c r="V11" s="41">
        <f>MIN(V5:V8)</f>
        <v>1</v>
      </c>
      <c r="W11" s="37">
        <f t="shared" si="25"/>
        <v>2.2727272727272728E-2</v>
      </c>
      <c r="X11" s="41">
        <f>MIN(X5:X8)</f>
        <v>2</v>
      </c>
      <c r="Y11" s="37">
        <f t="shared" si="26"/>
        <v>4.5454545454545456E-2</v>
      </c>
      <c r="Z11" s="41">
        <f>MIN(Z5:Z8)</f>
        <v>2</v>
      </c>
      <c r="AA11" s="37">
        <f t="shared" si="27"/>
        <v>4.5454545454545456E-2</v>
      </c>
      <c r="AB11" s="41">
        <f>MIN(AB5:AB8)</f>
        <v>2</v>
      </c>
      <c r="AC11" s="37">
        <f t="shared" si="28"/>
        <v>4.5454545454545456E-2</v>
      </c>
      <c r="AD11" s="41">
        <f>MIN(AD5:AD8)</f>
        <v>2</v>
      </c>
      <c r="AE11" s="37">
        <f t="shared" si="29"/>
        <v>4.5454545454545456E-2</v>
      </c>
      <c r="AF11" s="41">
        <f>MIN(AF5:AF8)</f>
        <v>3</v>
      </c>
      <c r="AG11" s="37">
        <f t="shared" si="30"/>
        <v>6.8181818181818177E-2</v>
      </c>
      <c r="AH11" s="41">
        <f>MIN(AH5:AH8)</f>
        <v>20</v>
      </c>
      <c r="AI11" s="37">
        <f t="shared" si="31"/>
        <v>0.45454545454545453</v>
      </c>
      <c r="AJ11" s="41"/>
      <c r="AK11" s="57">
        <f t="shared" si="34"/>
        <v>44</v>
      </c>
      <c r="AL11" s="55">
        <f>MIN(AL5:AL8)</f>
        <v>0</v>
      </c>
    </row>
    <row r="12" spans="1:40" ht="14.5" x14ac:dyDescent="0.35">
      <c r="D12" s="3"/>
      <c r="E12" s="40" t="s">
        <v>64</v>
      </c>
      <c r="F12" s="41">
        <f>MEDIAN(F5:F8)</f>
        <v>1</v>
      </c>
      <c r="G12" s="70">
        <f t="shared" si="17"/>
        <v>2.2727272727272728E-2</v>
      </c>
      <c r="H12" s="41">
        <f>MEDIAN(H5:H8)</f>
        <v>2</v>
      </c>
      <c r="I12" s="70">
        <f t="shared" si="18"/>
        <v>4.5454545454545456E-2</v>
      </c>
      <c r="J12" s="41">
        <f>MEDIAN(J5:J8)</f>
        <v>3</v>
      </c>
      <c r="K12" s="70">
        <f t="shared" si="19"/>
        <v>6.8181818181818177E-2</v>
      </c>
      <c r="L12" s="41">
        <f>MEDIAN(L5:L8)</f>
        <v>2</v>
      </c>
      <c r="M12" s="70">
        <f t="shared" si="20"/>
        <v>4.5454545454545456E-2</v>
      </c>
      <c r="N12" s="41">
        <f>MEDIAN(N5:N8)</f>
        <v>1</v>
      </c>
      <c r="O12" s="70">
        <f t="shared" si="21"/>
        <v>2.2727272727272728E-2</v>
      </c>
      <c r="P12" s="41">
        <f>MEDIAN(P5:P8)</f>
        <v>1</v>
      </c>
      <c r="Q12" s="70">
        <f t="shared" si="22"/>
        <v>2.2727272727272728E-2</v>
      </c>
      <c r="R12" s="41">
        <f>MEDIAN(R5:R8)</f>
        <v>1</v>
      </c>
      <c r="S12" s="70">
        <f t="shared" si="23"/>
        <v>2.2727272727272728E-2</v>
      </c>
      <c r="T12" s="41">
        <f>MEDIAN(T5:T8)</f>
        <v>1</v>
      </c>
      <c r="U12" s="70">
        <f t="shared" si="24"/>
        <v>2.2727272727272728E-2</v>
      </c>
      <c r="V12" s="41">
        <f>MEDIAN(V5:V8)</f>
        <v>1</v>
      </c>
      <c r="W12" s="70">
        <f t="shared" si="25"/>
        <v>2.2727272727272728E-2</v>
      </c>
      <c r="X12" s="41">
        <f>MEDIAN(X5:X8)</f>
        <v>2</v>
      </c>
      <c r="Y12" s="70">
        <f t="shared" si="26"/>
        <v>4.5454545454545456E-2</v>
      </c>
      <c r="Z12" s="41">
        <f>MEDIAN(Z5:Z8)</f>
        <v>2</v>
      </c>
      <c r="AA12" s="70">
        <f t="shared" si="27"/>
        <v>4.5454545454545456E-2</v>
      </c>
      <c r="AB12" s="41">
        <f>MEDIAN(AB5:AB8)</f>
        <v>2</v>
      </c>
      <c r="AC12" s="70">
        <f t="shared" si="28"/>
        <v>4.5454545454545456E-2</v>
      </c>
      <c r="AD12" s="41">
        <f>MEDIAN(AD5:AD8)</f>
        <v>2</v>
      </c>
      <c r="AE12" s="70">
        <f t="shared" si="29"/>
        <v>4.5454545454545456E-2</v>
      </c>
      <c r="AF12" s="41">
        <f>MEDIAN(AF5:AF8)</f>
        <v>3</v>
      </c>
      <c r="AG12" s="70">
        <f t="shared" si="30"/>
        <v>6.8181818181818177E-2</v>
      </c>
      <c r="AH12" s="41">
        <f>MEDIAN(AH5:AH8)</f>
        <v>20</v>
      </c>
      <c r="AI12" s="70">
        <f t="shared" si="31"/>
        <v>0.45454545454545453</v>
      </c>
      <c r="AJ12" s="41"/>
      <c r="AK12" s="57">
        <f t="shared" si="34"/>
        <v>44</v>
      </c>
      <c r="AL12" s="55">
        <f>MEDIAN(AL5:AL8)</f>
        <v>0</v>
      </c>
    </row>
    <row r="13" spans="1:40" s="44" customFormat="1" ht="42.75" customHeight="1" x14ac:dyDescent="0.35"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8"/>
      <c r="Q13" s="108"/>
      <c r="R13" s="108"/>
      <c r="S13" s="108"/>
      <c r="T13" s="108"/>
      <c r="U13" s="108"/>
      <c r="V13" s="108"/>
      <c r="W13" s="108"/>
      <c r="X13" s="109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L13" s="71"/>
    </row>
    <row r="14" spans="1:40" s="75" customFormat="1" ht="50.25" customHeight="1" x14ac:dyDescent="0.3">
      <c r="A14" s="73"/>
      <c r="B14" s="73"/>
      <c r="C14" s="73"/>
      <c r="D14" s="73"/>
      <c r="E14" s="73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1"/>
      <c r="Q14" s="111"/>
      <c r="R14" s="110"/>
      <c r="S14" s="110"/>
      <c r="T14" s="111"/>
      <c r="U14" s="111"/>
      <c r="V14" s="110"/>
      <c r="W14" s="110"/>
      <c r="X14" s="111"/>
      <c r="Y14" s="110"/>
      <c r="Z14" s="110"/>
      <c r="AA14" s="110"/>
      <c r="AB14" s="110"/>
      <c r="AC14" s="110"/>
      <c r="AD14" s="110"/>
      <c r="AE14" s="110"/>
      <c r="AF14" s="110"/>
      <c r="AG14" s="110"/>
      <c r="AH14" s="111"/>
      <c r="AI14" s="111"/>
      <c r="AJ14" s="73"/>
      <c r="AK14" s="73"/>
      <c r="AL14" s="74"/>
      <c r="AM14" s="73"/>
      <c r="AN14" s="73"/>
    </row>
    <row r="16" spans="1:40" ht="15" customHeight="1" x14ac:dyDescent="0.35">
      <c r="A16" t="s">
        <v>65</v>
      </c>
    </row>
  </sheetData>
  <autoFilter ref="A4:AL12" xr:uid="{00000000-0001-0000-0000-000000000000}"/>
  <mergeCells count="51">
    <mergeCell ref="Z14:AA14"/>
    <mergeCell ref="AB14:AC14"/>
    <mergeCell ref="AD14:AE14"/>
    <mergeCell ref="AF14:AG14"/>
    <mergeCell ref="AH14:AI14"/>
    <mergeCell ref="P14:Q14"/>
    <mergeCell ref="R14:S14"/>
    <mergeCell ref="T14:U14"/>
    <mergeCell ref="V14:W14"/>
    <mergeCell ref="X14:Y14"/>
    <mergeCell ref="F14:G14"/>
    <mergeCell ref="H14:I14"/>
    <mergeCell ref="J14:K14"/>
    <mergeCell ref="L14:M14"/>
    <mergeCell ref="N14:O14"/>
    <mergeCell ref="Z13:AA13"/>
    <mergeCell ref="AB13:AC13"/>
    <mergeCell ref="AD13:AE13"/>
    <mergeCell ref="AF13:AG13"/>
    <mergeCell ref="AH13:AI13"/>
    <mergeCell ref="P13:Q13"/>
    <mergeCell ref="R13:S13"/>
    <mergeCell ref="T13:U13"/>
    <mergeCell ref="V13:W13"/>
    <mergeCell ref="X13:Y13"/>
    <mergeCell ref="F13:G13"/>
    <mergeCell ref="H13:I13"/>
    <mergeCell ref="J13:K13"/>
    <mergeCell ref="L13:M13"/>
    <mergeCell ref="N13:O13"/>
    <mergeCell ref="AH3:AJ3"/>
    <mergeCell ref="AK3:AK4"/>
    <mergeCell ref="AL3:AL4"/>
    <mergeCell ref="F3:G3"/>
    <mergeCell ref="H3:I3"/>
    <mergeCell ref="J3:K3"/>
    <mergeCell ref="L3:M3"/>
    <mergeCell ref="N3:O3"/>
    <mergeCell ref="P3:Q3"/>
    <mergeCell ref="R3:S3"/>
    <mergeCell ref="T3:U3"/>
    <mergeCell ref="AF3:AG3"/>
    <mergeCell ref="H2:K2"/>
    <mergeCell ref="N2:Q2"/>
    <mergeCell ref="R2:U2"/>
    <mergeCell ref="AB2:AG2"/>
    <mergeCell ref="V3:W3"/>
    <mergeCell ref="X3:Y3"/>
    <mergeCell ref="Z3:AA3"/>
    <mergeCell ref="AB3:AC3"/>
    <mergeCell ref="AD3:AE3"/>
  </mergeCells>
  <conditionalFormatting sqref="G6:G9 I6:I9 K6:K9 M6:M9 O6:O9 Q6:Q9 S6:S9 U6:U9 W6:W9 Y6:Y9 AA6:AA9 AC6:AC9 AE6:AE9 AG6:AG9 AI6:AI9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0:I12 G10:G12 K10:K12 M10:M12 O10:O12 Q10:Q12 S10:S12 U10:U12 W10:W12 Y10:Y12 AA10:AA12 AC10:AC12 AE10:AE12 AG10:AG12 AI10:AI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2B7E6-2B6D-4C8E-8594-B7558517FD28}">
  <dimension ref="A1"/>
  <sheetViews>
    <sheetView workbookViewId="0"/>
  </sheetViews>
  <sheetFormatPr baseColWidth="10" defaultColWidth="8.81640625"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4539-DE9F-41E3-AD40-DA9FAEBC8BCE}">
  <dimension ref="B1:K26"/>
  <sheetViews>
    <sheetView workbookViewId="0">
      <selection activeCell="D3" sqref="D3"/>
    </sheetView>
  </sheetViews>
  <sheetFormatPr baseColWidth="10" defaultColWidth="11.453125" defaultRowHeight="14.5" x14ac:dyDescent="0.35"/>
  <cols>
    <col min="1" max="3" width="11.453125" style="5"/>
    <col min="4" max="4" width="21.54296875" style="5" customWidth="1"/>
    <col min="5" max="6" width="16.453125" style="5" customWidth="1"/>
    <col min="7" max="7" width="14.54296875" style="5" bestFit="1" customWidth="1"/>
    <col min="8" max="8" width="9.1796875" style="5"/>
    <col min="9" max="9" width="36" style="5" customWidth="1"/>
    <col min="10" max="10" width="25" style="5" bestFit="1" customWidth="1"/>
    <col min="11" max="11" width="14.81640625" style="5" customWidth="1"/>
    <col min="12" max="16384" width="11.453125" style="5"/>
  </cols>
  <sheetData>
    <row r="1" spans="2:10" ht="29" x14ac:dyDescent="0.35">
      <c r="B1" s="42" t="s">
        <v>66</v>
      </c>
      <c r="C1" s="42" t="s">
        <v>67</v>
      </c>
      <c r="D1" s="42" t="s">
        <v>68</v>
      </c>
      <c r="E1" s="42" t="s">
        <v>69</v>
      </c>
      <c r="F1" s="42" t="s">
        <v>70</v>
      </c>
      <c r="G1" s="42" t="s">
        <v>71</v>
      </c>
      <c r="H1" s="42" t="s">
        <v>72</v>
      </c>
      <c r="I1" s="42" t="s">
        <v>73</v>
      </c>
    </row>
    <row r="2" spans="2:10" ht="72.5" x14ac:dyDescent="0.35">
      <c r="B2" s="6" t="s">
        <v>74</v>
      </c>
      <c r="C2" s="6" t="s">
        <v>75</v>
      </c>
      <c r="D2" s="6" t="s">
        <v>76</v>
      </c>
      <c r="E2" s="6">
        <v>2</v>
      </c>
      <c r="F2" s="6" t="s">
        <v>77</v>
      </c>
      <c r="G2" s="6" t="s">
        <v>78</v>
      </c>
      <c r="H2" s="7" t="s">
        <v>79</v>
      </c>
      <c r="I2" s="8" t="s">
        <v>80</v>
      </c>
      <c r="J2" s="9"/>
    </row>
    <row r="3" spans="2:10" ht="58" x14ac:dyDescent="0.35">
      <c r="B3" s="6" t="s">
        <v>74</v>
      </c>
      <c r="C3" s="6" t="s">
        <v>81</v>
      </c>
      <c r="D3" s="6" t="s">
        <v>82</v>
      </c>
      <c r="E3" s="6">
        <v>1.5</v>
      </c>
      <c r="F3" s="6" t="s">
        <v>83</v>
      </c>
      <c r="G3" s="6" t="s">
        <v>84</v>
      </c>
      <c r="H3" s="7" t="s">
        <v>85</v>
      </c>
      <c r="I3" s="8" t="s">
        <v>86</v>
      </c>
      <c r="J3" s="9"/>
    </row>
    <row r="4" spans="2:10" ht="29" x14ac:dyDescent="0.35">
      <c r="B4" s="6" t="s">
        <v>74</v>
      </c>
      <c r="C4" s="6" t="s">
        <v>75</v>
      </c>
      <c r="D4" s="6" t="s">
        <v>87</v>
      </c>
      <c r="E4" s="10">
        <v>0</v>
      </c>
      <c r="F4" s="6" t="s">
        <v>88</v>
      </c>
      <c r="G4" s="6" t="s">
        <v>89</v>
      </c>
      <c r="H4" s="7" t="s">
        <v>90</v>
      </c>
      <c r="I4" s="8"/>
      <c r="J4" s="9"/>
    </row>
    <row r="5" spans="2:10" ht="130.5" x14ac:dyDescent="0.35">
      <c r="B5" s="11" t="s">
        <v>74</v>
      </c>
      <c r="C5" s="11" t="s">
        <v>75</v>
      </c>
      <c r="D5" s="11" t="s">
        <v>91</v>
      </c>
      <c r="E5" s="11">
        <v>1</v>
      </c>
      <c r="F5" s="12" t="s">
        <v>92</v>
      </c>
      <c r="G5" s="12" t="s">
        <v>93</v>
      </c>
      <c r="H5" s="13" t="s">
        <v>79</v>
      </c>
      <c r="I5" s="14" t="s">
        <v>94</v>
      </c>
      <c r="J5" s="9" t="s">
        <v>95</v>
      </c>
    </row>
    <row r="6" spans="2:10" ht="58" x14ac:dyDescent="0.35">
      <c r="B6" s="6" t="s">
        <v>74</v>
      </c>
      <c r="C6" s="6" t="s">
        <v>81</v>
      </c>
      <c r="D6" s="6" t="s">
        <v>96</v>
      </c>
      <c r="E6" s="6">
        <v>1</v>
      </c>
      <c r="F6" s="6" t="s">
        <v>92</v>
      </c>
      <c r="G6" s="6" t="s">
        <v>97</v>
      </c>
      <c r="H6" s="7" t="s">
        <v>85</v>
      </c>
      <c r="I6" s="8" t="s">
        <v>98</v>
      </c>
      <c r="J6" s="9"/>
    </row>
    <row r="7" spans="2:10" ht="58" x14ac:dyDescent="0.35">
      <c r="B7" s="6" t="s">
        <v>74</v>
      </c>
      <c r="C7" s="6" t="s">
        <v>81</v>
      </c>
      <c r="D7" s="6" t="s">
        <v>99</v>
      </c>
      <c r="E7" s="6">
        <v>4</v>
      </c>
      <c r="F7" s="6" t="s">
        <v>100</v>
      </c>
      <c r="G7" s="6" t="s">
        <v>101</v>
      </c>
      <c r="H7" s="7" t="s">
        <v>85</v>
      </c>
      <c r="I7" s="8" t="s">
        <v>102</v>
      </c>
      <c r="J7" s="9"/>
    </row>
    <row r="8" spans="2:10" ht="15" customHeight="1" x14ac:dyDescent="0.35">
      <c r="B8" s="6" t="s">
        <v>74</v>
      </c>
      <c r="C8" s="15" t="s">
        <v>81</v>
      </c>
      <c r="D8" s="15" t="s">
        <v>103</v>
      </c>
      <c r="E8" s="16">
        <v>40</v>
      </c>
      <c r="F8" s="6" t="s">
        <v>101</v>
      </c>
      <c r="G8" s="6" t="s">
        <v>101</v>
      </c>
      <c r="H8" s="7" t="s">
        <v>85</v>
      </c>
      <c r="I8" s="17" t="s">
        <v>104</v>
      </c>
      <c r="J8" s="9" t="s">
        <v>105</v>
      </c>
    </row>
    <row r="9" spans="2:10" ht="87" x14ac:dyDescent="0.35">
      <c r="B9" s="6" t="s">
        <v>74</v>
      </c>
      <c r="C9" s="15" t="s">
        <v>81</v>
      </c>
      <c r="D9" s="15" t="s">
        <v>106</v>
      </c>
      <c r="E9" s="16" t="s">
        <v>107</v>
      </c>
      <c r="F9" s="6" t="s">
        <v>89</v>
      </c>
      <c r="G9" s="6" t="s">
        <v>101</v>
      </c>
      <c r="H9" s="7" t="s">
        <v>85</v>
      </c>
      <c r="I9" s="17" t="s">
        <v>108</v>
      </c>
      <c r="J9" s="9" t="s">
        <v>109</v>
      </c>
    </row>
    <row r="10" spans="2:10" ht="87" x14ac:dyDescent="0.35">
      <c r="B10" s="6" t="s">
        <v>74</v>
      </c>
      <c r="C10" s="15" t="s">
        <v>81</v>
      </c>
      <c r="D10" s="18" t="s">
        <v>110</v>
      </c>
      <c r="E10" s="16">
        <v>1</v>
      </c>
      <c r="F10" s="6" t="s">
        <v>100</v>
      </c>
      <c r="G10" s="6" t="s">
        <v>101</v>
      </c>
      <c r="H10" s="7" t="s">
        <v>85</v>
      </c>
      <c r="I10" s="17" t="s">
        <v>111</v>
      </c>
      <c r="J10" s="9"/>
    </row>
    <row r="11" spans="2:10" ht="101.5" x14ac:dyDescent="0.35">
      <c r="B11" s="6" t="s">
        <v>112</v>
      </c>
      <c r="C11" s="15" t="s">
        <v>75</v>
      </c>
      <c r="D11" s="15" t="s">
        <v>113</v>
      </c>
      <c r="E11" s="16">
        <v>2</v>
      </c>
      <c r="F11" s="6" t="s">
        <v>114</v>
      </c>
      <c r="G11" s="6" t="s">
        <v>115</v>
      </c>
      <c r="H11" s="7" t="s">
        <v>79</v>
      </c>
      <c r="I11" s="8" t="s">
        <v>116</v>
      </c>
      <c r="J11" s="9"/>
    </row>
    <row r="12" spans="2:10" ht="29" x14ac:dyDescent="0.35">
      <c r="B12" s="6" t="s">
        <v>112</v>
      </c>
      <c r="C12" s="6" t="s">
        <v>75</v>
      </c>
      <c r="D12" s="6" t="s">
        <v>117</v>
      </c>
      <c r="E12" s="6">
        <v>4</v>
      </c>
      <c r="F12" s="6" t="s">
        <v>100</v>
      </c>
      <c r="G12" s="6" t="s">
        <v>118</v>
      </c>
      <c r="H12" s="7" t="s">
        <v>79</v>
      </c>
      <c r="I12" s="8" t="s">
        <v>119</v>
      </c>
      <c r="J12" s="9"/>
    </row>
    <row r="13" spans="2:10" ht="29" x14ac:dyDescent="0.35">
      <c r="B13" s="6" t="s">
        <v>112</v>
      </c>
      <c r="C13" s="6" t="s">
        <v>75</v>
      </c>
      <c r="D13" s="6" t="s">
        <v>120</v>
      </c>
      <c r="E13" s="6">
        <v>1</v>
      </c>
      <c r="F13" s="6" t="s">
        <v>121</v>
      </c>
      <c r="G13" s="6" t="s">
        <v>122</v>
      </c>
      <c r="H13" s="7" t="s">
        <v>123</v>
      </c>
      <c r="I13" s="8" t="s">
        <v>124</v>
      </c>
      <c r="J13" s="9"/>
    </row>
    <row r="14" spans="2:10" ht="29" x14ac:dyDescent="0.35">
      <c r="B14" s="6" t="s">
        <v>112</v>
      </c>
      <c r="C14" s="6" t="s">
        <v>75</v>
      </c>
      <c r="D14" s="6" t="s">
        <v>125</v>
      </c>
      <c r="E14" s="6">
        <v>1</v>
      </c>
      <c r="F14" s="6" t="s">
        <v>126</v>
      </c>
      <c r="G14" s="6" t="s">
        <v>127</v>
      </c>
      <c r="H14" s="7" t="s">
        <v>79</v>
      </c>
      <c r="I14" s="8" t="s">
        <v>128</v>
      </c>
      <c r="J14" s="9"/>
    </row>
    <row r="15" spans="2:10" ht="43.5" x14ac:dyDescent="0.35">
      <c r="B15" s="6" t="s">
        <v>112</v>
      </c>
      <c r="C15" s="6" t="s">
        <v>75</v>
      </c>
      <c r="D15" s="6" t="s">
        <v>129</v>
      </c>
      <c r="E15" s="6">
        <v>4</v>
      </c>
      <c r="F15" s="6" t="s">
        <v>130</v>
      </c>
      <c r="G15" s="12" t="s">
        <v>127</v>
      </c>
      <c r="H15" s="7" t="s">
        <v>79</v>
      </c>
      <c r="I15" s="8" t="s">
        <v>131</v>
      </c>
      <c r="J15" s="9"/>
    </row>
    <row r="16" spans="2:10" ht="101.5" x14ac:dyDescent="0.35">
      <c r="B16" s="6" t="s">
        <v>112</v>
      </c>
      <c r="C16" s="6" t="s">
        <v>81</v>
      </c>
      <c r="D16" s="6" t="s">
        <v>132</v>
      </c>
      <c r="E16" s="6">
        <v>5</v>
      </c>
      <c r="F16" s="6" t="s">
        <v>114</v>
      </c>
      <c r="G16" s="6" t="s">
        <v>133</v>
      </c>
      <c r="H16" s="7" t="s">
        <v>79</v>
      </c>
      <c r="I16" s="19" t="s">
        <v>134</v>
      </c>
      <c r="J16" s="9"/>
    </row>
    <row r="17" spans="2:11" ht="87" x14ac:dyDescent="0.35">
      <c r="B17" s="20" t="s">
        <v>112</v>
      </c>
      <c r="C17" s="20" t="s">
        <v>81</v>
      </c>
      <c r="D17" s="20" t="s">
        <v>135</v>
      </c>
      <c r="E17" s="20">
        <v>15</v>
      </c>
      <c r="F17" s="6" t="s">
        <v>130</v>
      </c>
      <c r="G17" s="6" t="s">
        <v>136</v>
      </c>
      <c r="H17" s="7" t="s">
        <v>79</v>
      </c>
      <c r="I17" s="8" t="s">
        <v>137</v>
      </c>
      <c r="J17" s="9"/>
    </row>
    <row r="18" spans="2:11" ht="29" x14ac:dyDescent="0.35">
      <c r="B18" s="6" t="s">
        <v>112</v>
      </c>
      <c r="C18" s="6" t="s">
        <v>81</v>
      </c>
      <c r="D18" s="6" t="s">
        <v>138</v>
      </c>
      <c r="E18" s="6">
        <v>4</v>
      </c>
      <c r="F18" s="6" t="s">
        <v>100</v>
      </c>
      <c r="G18" s="6" t="s">
        <v>133</v>
      </c>
      <c r="H18" s="7" t="s">
        <v>79</v>
      </c>
      <c r="I18" s="8" t="s">
        <v>139</v>
      </c>
      <c r="J18" s="9"/>
    </row>
    <row r="19" spans="2:11" ht="87" x14ac:dyDescent="0.35">
      <c r="B19" s="20" t="s">
        <v>112</v>
      </c>
      <c r="C19" s="20" t="s">
        <v>81</v>
      </c>
      <c r="D19" s="20" t="s">
        <v>140</v>
      </c>
      <c r="E19" s="20">
        <v>5</v>
      </c>
      <c r="F19" s="6" t="s">
        <v>114</v>
      </c>
      <c r="G19" s="20" t="s">
        <v>141</v>
      </c>
      <c r="H19" s="21" t="s">
        <v>79</v>
      </c>
      <c r="I19" s="19" t="s">
        <v>108</v>
      </c>
      <c r="J19" s="9"/>
    </row>
    <row r="20" spans="2:11" ht="87" x14ac:dyDescent="0.35">
      <c r="B20" s="6" t="s">
        <v>142</v>
      </c>
      <c r="C20" s="6" t="s">
        <v>75</v>
      </c>
      <c r="D20" s="6" t="s">
        <v>143</v>
      </c>
      <c r="E20" s="6">
        <v>4.5</v>
      </c>
      <c r="F20" s="12" t="s">
        <v>144</v>
      </c>
      <c r="G20" s="12" t="s">
        <v>145</v>
      </c>
      <c r="H20" s="7" t="s">
        <v>146</v>
      </c>
      <c r="I20" s="8" t="s">
        <v>147</v>
      </c>
      <c r="J20" s="9"/>
    </row>
    <row r="21" spans="2:11" ht="130.5" x14ac:dyDescent="0.35">
      <c r="B21" s="20" t="s">
        <v>142</v>
      </c>
      <c r="C21" s="20" t="s">
        <v>75</v>
      </c>
      <c r="D21" s="20" t="s">
        <v>148</v>
      </c>
      <c r="E21" s="20">
        <v>6.5</v>
      </c>
      <c r="F21" s="12" t="s">
        <v>144</v>
      </c>
      <c r="G21" s="12" t="s">
        <v>149</v>
      </c>
      <c r="H21" s="13" t="s">
        <v>150</v>
      </c>
      <c r="I21" s="8" t="s">
        <v>151</v>
      </c>
      <c r="J21" s="9" t="s">
        <v>152</v>
      </c>
      <c r="K21" s="22" t="s">
        <v>153</v>
      </c>
    </row>
    <row r="22" spans="2:11" ht="29" x14ac:dyDescent="0.35">
      <c r="B22" s="6" t="s">
        <v>142</v>
      </c>
      <c r="C22" s="6" t="s">
        <v>75</v>
      </c>
      <c r="D22" s="6" t="s">
        <v>154</v>
      </c>
      <c r="E22" s="6">
        <v>1</v>
      </c>
      <c r="F22" s="12" t="s">
        <v>155</v>
      </c>
      <c r="G22" s="12" t="s">
        <v>156</v>
      </c>
      <c r="H22" s="13" t="s">
        <v>157</v>
      </c>
      <c r="I22" s="8" t="s">
        <v>158</v>
      </c>
      <c r="J22" s="9"/>
      <c r="K22" s="23"/>
    </row>
    <row r="23" spans="2:11" ht="72.5" x14ac:dyDescent="0.35">
      <c r="B23" s="6" t="s">
        <v>142</v>
      </c>
      <c r="C23" s="6" t="s">
        <v>75</v>
      </c>
      <c r="D23" s="6" t="s">
        <v>159</v>
      </c>
      <c r="E23" s="6">
        <v>5.5</v>
      </c>
      <c r="F23" s="12" t="s">
        <v>160</v>
      </c>
      <c r="G23" s="12" t="s">
        <v>145</v>
      </c>
      <c r="H23" s="13" t="s">
        <v>161</v>
      </c>
      <c r="I23" s="8" t="s">
        <v>162</v>
      </c>
      <c r="J23" s="9" t="s">
        <v>163</v>
      </c>
      <c r="K23" s="23"/>
    </row>
    <row r="24" spans="2:11" ht="72.5" x14ac:dyDescent="0.35">
      <c r="B24" s="6" t="s">
        <v>142</v>
      </c>
      <c r="C24" s="6" t="s">
        <v>75</v>
      </c>
      <c r="D24" s="6" t="s">
        <v>164</v>
      </c>
      <c r="E24" s="6">
        <v>9</v>
      </c>
      <c r="F24" s="12" t="s">
        <v>160</v>
      </c>
      <c r="G24" s="12" t="s">
        <v>165</v>
      </c>
      <c r="H24" s="13" t="s">
        <v>166</v>
      </c>
      <c r="I24" s="8" t="s">
        <v>167</v>
      </c>
      <c r="J24" s="9" t="s">
        <v>168</v>
      </c>
    </row>
    <row r="25" spans="2:11" ht="87" x14ac:dyDescent="0.35">
      <c r="B25" s="6" t="s">
        <v>142</v>
      </c>
      <c r="C25" s="6" t="s">
        <v>81</v>
      </c>
      <c r="D25" s="6" t="s">
        <v>169</v>
      </c>
      <c r="E25" s="6">
        <v>3.5</v>
      </c>
      <c r="F25" s="12" t="s">
        <v>170</v>
      </c>
      <c r="G25" s="12" t="s">
        <v>144</v>
      </c>
      <c r="H25" s="13" t="s">
        <v>171</v>
      </c>
      <c r="I25" s="8" t="s">
        <v>172</v>
      </c>
      <c r="J25" s="9" t="s">
        <v>173</v>
      </c>
    </row>
    <row r="26" spans="2:11" ht="72.5" x14ac:dyDescent="0.35">
      <c r="B26" s="6" t="s">
        <v>142</v>
      </c>
      <c r="C26" s="6" t="s">
        <v>81</v>
      </c>
      <c r="D26" s="6" t="s">
        <v>174</v>
      </c>
      <c r="E26" s="6">
        <v>10</v>
      </c>
      <c r="F26" s="12" t="s">
        <v>170</v>
      </c>
      <c r="G26" s="12" t="s">
        <v>175</v>
      </c>
      <c r="H26" s="13" t="s">
        <v>176</v>
      </c>
      <c r="I26" s="8" t="s">
        <v>177</v>
      </c>
      <c r="J26" s="9" t="s">
        <v>178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947b7a-4a90-4c4b-9da0-7f31a786e70e" xsi:nil="true"/>
    <lcf76f155ced4ddcb4097134ff3c332f xmlns="8d194f92-eac5-46c0-8d19-e30e84cd14c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7C0C9056241149880FCEEBBDD5687F" ma:contentTypeVersion="15" ma:contentTypeDescription="Crear nuevo documento." ma:contentTypeScope="" ma:versionID="2c62058e4bc39641d87d90b961a22ac6">
  <xsd:schema xmlns:xsd="http://www.w3.org/2001/XMLSchema" xmlns:xs="http://www.w3.org/2001/XMLSchema" xmlns:p="http://schemas.microsoft.com/office/2006/metadata/properties" xmlns:ns2="8d194f92-eac5-46c0-8d19-e30e84cd14c3" xmlns:ns3="da947b7a-4a90-4c4b-9da0-7f31a786e70e" targetNamespace="http://schemas.microsoft.com/office/2006/metadata/properties" ma:root="true" ma:fieldsID="46dc35eb415e2f0d7cd11b09df96461e" ns2:_="" ns3:_="">
    <xsd:import namespace="8d194f92-eac5-46c0-8d19-e30e84cd14c3"/>
    <xsd:import namespace="da947b7a-4a90-4c4b-9da0-7f31a786e7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194f92-eac5-46c0-8d19-e30e84cd1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cd3d5d5d-fde7-4fdb-a831-fd453e1daa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947b7a-4a90-4c4b-9da0-7f31a786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ae1c4c97-ae90-4a7b-9182-21e46d35e043}" ma:internalName="TaxCatchAll" ma:showField="CatchAllData" ma:web="da947b7a-4a90-4c4b-9da0-7f31a786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6B312D-75BB-4DBB-B67B-E8453ABD0FBD}">
  <ds:schemaRefs>
    <ds:schemaRef ds:uri="http://schemas.microsoft.com/office/2006/metadata/properties"/>
    <ds:schemaRef ds:uri="http://schemas.microsoft.com/office/infopath/2007/PartnerControls"/>
    <ds:schemaRef ds:uri="da947b7a-4a90-4c4b-9da0-7f31a786e70e"/>
    <ds:schemaRef ds:uri="8d194f92-eac5-46c0-8d19-e30e84cd14c3"/>
  </ds:schemaRefs>
</ds:datastoreItem>
</file>

<file path=customXml/itemProps2.xml><?xml version="1.0" encoding="utf-8"?>
<ds:datastoreItem xmlns:ds="http://schemas.openxmlformats.org/officeDocument/2006/customXml" ds:itemID="{FAD97A15-FD19-4372-9454-663DBDEED4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A546D-B390-40FF-9AAC-7B9145BA28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194f92-eac5-46c0-8d19-e30e84cd14c3"/>
    <ds:schemaRef ds:uri="da947b7a-4a90-4c4b-9da0-7f31a786e7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Instrucción</vt:lpstr>
      <vt:lpstr>Value Stream - AT</vt:lpstr>
      <vt:lpstr>FTE´s</vt:lpstr>
      <vt:lpstr>Hoja1</vt:lpstr>
      <vt:lpstr>otros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Araceli Olmedo (Chile)</dc:creator>
  <cp:keywords/>
  <dc:description/>
  <cp:lastModifiedBy>Daniela Valdebenito (Chile)</cp:lastModifiedBy>
  <cp:revision/>
  <dcterms:created xsi:type="dcterms:W3CDTF">2025-05-30T13:48:20Z</dcterms:created>
  <dcterms:modified xsi:type="dcterms:W3CDTF">2026-02-16T15:11:20Z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0x010100917C0C9056241149880FCEEBBDD5687F</vt:lpwstr>
  </property>
  <property fmtid="{D5CDD505-2E9C-101B-9397-08002B2CF9AE}" pid="3" name="MSIP_Label_b24820e8-223f-4ed2-bd95-81c83f641284_Enabled">
    <vt:lpwstr>true</vt:lpwstr>
  </property>
  <property fmtid="{D5CDD505-2E9C-101B-9397-08002B2CF9AE}" pid="4" name="MSIP_Label_b24820e8-223f-4ed2-bd95-81c83f641284_SetDate">
    <vt:lpwstr>2025-06-02T15:42:27Z</vt:lpwstr>
  </property>
  <property fmtid="{D5CDD505-2E9C-101B-9397-08002B2CF9AE}" pid="5" name="MSIP_Label_b24820e8-223f-4ed2-bd95-81c83f641284_Method">
    <vt:lpwstr>Standard</vt:lpwstr>
  </property>
  <property fmtid="{D5CDD505-2E9C-101B-9397-08002B2CF9AE}" pid="6" name="MSIP_Label_b24820e8-223f-4ed2-bd95-81c83f641284_Name">
    <vt:lpwstr>b24820e8-223f-4ed2-bd95-81c83f641284</vt:lpwstr>
  </property>
  <property fmtid="{D5CDD505-2E9C-101B-9397-08002B2CF9AE}" pid="7" name="MSIP_Label_b24820e8-223f-4ed2-bd95-81c83f641284_SiteId">
    <vt:lpwstr>3cbcc3d3-094d-4006-9849-0d11d61f484d</vt:lpwstr>
  </property>
  <property fmtid="{D5CDD505-2E9C-101B-9397-08002B2CF9AE}" pid="8" name="MSIP_Label_b24820e8-223f-4ed2-bd95-81c83f641284_ActionId">
    <vt:lpwstr>11a5924c-099f-4c2e-b4a2-960ad240dc75</vt:lpwstr>
  </property>
  <property fmtid="{D5CDD505-2E9C-101B-9397-08002B2CF9AE}" pid="9" name="MSIP_Label_b24820e8-223f-4ed2-bd95-81c83f641284_ContentBits">
    <vt:lpwstr>0</vt:lpwstr>
  </property>
  <property fmtid="{D5CDD505-2E9C-101B-9397-08002B2CF9AE}" pid="10" name="MSIP_Label_b24820e8-223f-4ed2-bd95-81c83f641284_Tag">
    <vt:lpwstr>10, 3, 0, 1</vt:lpwstr>
  </property>
  <property fmtid="{D5CDD505-2E9C-101B-9397-08002B2CF9AE}" pid="11" name="Order">
    <vt:r8>1400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