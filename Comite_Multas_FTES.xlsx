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 AT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0" fontId="1" fillId="0" borderId="0" applyAlignment="1" pivotButton="0" quotePrefix="0" xfId="0">
      <alignment horizontal="right"/>
    </xf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5" applyAlignment="1" pivotButton="0" quotePrefix="0" xfId="0">
      <alignment horizontal="left" vertical="top" wrapText="1"/>
    </xf>
    <xf numFmtId="0" fontId="9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5" applyAlignment="1" pivotButton="0" quotePrefix="0" xfId="0">
      <alignment horizontal="center" vertical="top" wrapText="1"/>
    </xf>
    <xf numFmtId="0" fontId="10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vertical="top" wrapText="1"/>
    </xf>
    <xf numFmtId="0" fontId="16" fillId="13" borderId="15" applyAlignment="1" pivotButton="0" quotePrefix="0" xfId="0">
      <alignment horizontal="left" vertical="top" wrapText="1"/>
    </xf>
    <xf numFmtId="0" fontId="0" fillId="13" borderId="15" applyAlignment="1" pivotButton="0" quotePrefix="0" xfId="0">
      <alignment horizontal="left" vertical="top" wrapText="1"/>
    </xf>
    <xf numFmtId="0" fontId="10" fillId="13" borderId="16" applyAlignment="1" pivotButton="0" quotePrefix="0" xfId="0">
      <alignment horizontal="center" vertical="top" wrapText="1"/>
    </xf>
    <xf numFmtId="2" fontId="14" fillId="12" borderId="0" pivotButton="0" quotePrefix="0" xfId="0"/>
    <xf numFmtId="9" fontId="14" fillId="12" borderId="13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7" applyAlignment="1" pivotButton="0" quotePrefix="0" xfId="0">
      <alignment horizontal="left" vertical="top" wrapText="1"/>
    </xf>
    <xf numFmtId="2" fontId="13" fillId="13" borderId="10" applyAlignment="1" pivotButton="0" quotePrefix="0" xfId="0">
      <alignment vertical="top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17" applyAlignment="1" pivotButton="0" quotePrefix="0" xfId="0">
      <alignment vertical="top" wrapText="1"/>
    </xf>
    <xf numFmtId="0" fontId="0" fillId="13" borderId="0" applyAlignment="1" pivotButton="0" quotePrefix="0" xfId="0">
      <alignment horizontal="left" wrapText="1"/>
    </xf>
    <xf numFmtId="0" fontId="0" fillId="13" borderId="3" pivotButton="0" quotePrefix="0" xfId="0"/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5" fillId="13" borderId="20" applyAlignment="1" pivotButton="0" quotePrefix="0" xfId="0">
      <alignment horizontal="left" vertical="top" wrapText="1"/>
    </xf>
    <xf numFmtId="0" fontId="10" fillId="13" borderId="21" applyAlignment="1" pivotButton="0" quotePrefix="0" xfId="0">
      <alignment vertical="top" wrapText="1"/>
    </xf>
    <xf numFmtId="0" fontId="10" fillId="13" borderId="22" applyAlignment="1" pivotButton="0" quotePrefix="0" xfId="0">
      <alignment horizontal="center" vertical="top" wrapText="1"/>
    </xf>
    <xf numFmtId="0" fontId="10" fillId="13" borderId="19" applyAlignment="1" pivotButton="0" quotePrefix="0" xfId="0">
      <alignment horizontal="left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5" applyAlignment="1" pivotButton="0" quotePrefix="0" xfId="0">
      <alignment horizontal="left" vertical="top" wrapText="1"/>
    </xf>
    <xf numFmtId="0" fontId="1" fillId="13" borderId="3" pivotButton="0" quotePrefix="0" xfId="0"/>
    <xf numFmtId="0" fontId="9" fillId="13" borderId="3" applyAlignment="1" pivotButton="0" quotePrefix="0" xfId="0">
      <alignment vertical="top" wrapText="1"/>
    </xf>
    <xf numFmtId="0" fontId="11" fillId="3" borderId="14" applyAlignment="1" pivotButton="0" quotePrefix="0" xfId="0">
      <alignment horizontal="center" textRotation="90" wrapText="1"/>
    </xf>
    <xf numFmtId="0" fontId="0" fillId="0" borderId="24" pivotButton="0" quotePrefix="0" xfId="0"/>
    <xf numFmtId="0" fontId="0" fillId="9" borderId="5" applyAlignment="1" pivotButton="0" quotePrefix="0" xfId="0">
      <alignment horizontal="center" vertical="center"/>
    </xf>
    <xf numFmtId="0" fontId="0" fillId="0" borderId="20" pivotButton="0" quotePrefix="0" xfId="0"/>
    <xf numFmtId="0" fontId="18" fillId="0" borderId="5" applyAlignment="1" pivotButton="0" quotePrefix="0" xfId="0">
      <alignment horizontal="left" vertical="top"/>
    </xf>
    <xf numFmtId="0" fontId="17" fillId="5" borderId="10" applyAlignment="1" pivotButton="0" quotePrefix="0" xfId="0">
      <alignment horizontal="center" vertical="center" wrapText="1"/>
    </xf>
    <xf numFmtId="0" fontId="0" fillId="0" borderId="14" pivotButton="0" quotePrefix="0" xfId="0"/>
    <xf numFmtId="0" fontId="18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0" fillId="0" borderId="26" pivotButton="0" quotePrefix="0" xfId="0"/>
    <xf numFmtId="0" fontId="0" fillId="9" borderId="5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textRotation="90" wrapText="1"/>
    </xf>
    <xf numFmtId="0" fontId="0" fillId="0" borderId="23" pivotButton="0" quotePrefix="0" xfId="0"/>
    <xf numFmtId="9" fontId="17" fillId="5" borderId="10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textRotation="90" wrapText="1"/>
    </xf>
    <xf numFmtId="0" fontId="11" fillId="4" borderId="11" applyAlignment="1" pivotButton="0" quotePrefix="0" xfId="0">
      <alignment horizontal="center" textRotation="90" wrapText="1"/>
    </xf>
    <xf numFmtId="0" fontId="0" fillId="0" borderId="12" pivotButton="0" quotePrefix="0" xfId="0"/>
    <xf numFmtId="0" fontId="11" fillId="6" borderId="25" applyAlignment="1" pivotButton="0" quotePrefix="0" xfId="0">
      <alignment horizontal="center" textRotation="90" wrapText="1"/>
    </xf>
    <xf numFmtId="0" fontId="0" fillId="0" borderId="18" pivotButton="0" quotePrefix="0" xfId="0"/>
    <xf numFmtId="0" fontId="11" fillId="6" borderId="14" applyAlignment="1" pivotButton="0" quotePrefix="0" xfId="0">
      <alignment horizontal="center" textRotation="90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7"/>
    <col width="9.1796875" customWidth="1" style="25" min="8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5"/>
  <sheetViews>
    <sheetView showGridLines="0" tabSelected="1" zoomScale="60" zoomScaleNormal="60" workbookViewId="0">
      <selection activeCell="K3" sqref="K3"/>
    </sheetView>
  </sheetViews>
  <sheetFormatPr baseColWidth="10" defaultColWidth="9.1796875" defaultRowHeight="15" customHeight="1"/>
  <cols>
    <col width="9.1796875" customWidth="1" style="83" min="1" max="1"/>
    <col width="14.54296875" customWidth="1" style="44" min="2" max="2"/>
    <col width="36.1796875" customWidth="1" style="28" min="3" max="5"/>
    <col width="11.81640625" customWidth="1" style="48" min="6" max="6"/>
    <col width="36.1796875" customWidth="1" style="28" min="7" max="7"/>
    <col width="9.1796875" customWidth="1" style="28" min="8" max="8"/>
    <col width="9.1796875" customWidth="1" style="28" min="9" max="16384"/>
  </cols>
  <sheetData>
    <row r="1" ht="14.5" customHeight="1">
      <c r="A1" s="58" t="inlineStr">
        <is>
          <t>N</t>
        </is>
      </c>
      <c r="B1" s="58" t="inlineStr">
        <is>
          <t>VALOR</t>
        </is>
      </c>
      <c r="C1" s="58" t="inlineStr">
        <is>
          <t>Etapa</t>
        </is>
      </c>
      <c r="D1" s="58" t="inlineStr">
        <is>
          <t>Proceso</t>
        </is>
      </c>
      <c r="E1" s="58" t="inlineStr">
        <is>
          <t>Descripción de la Etapa (Valor Entregado)</t>
        </is>
      </c>
      <c r="F1" s="59" t="inlineStr">
        <is>
          <t>Responsable</t>
        </is>
      </c>
      <c r="G1" s="58" t="inlineStr">
        <is>
          <t>Descripción del Proceso</t>
        </is>
      </c>
    </row>
    <row r="2" ht="101.5" customHeight="1">
      <c r="A2" s="43" t="n">
        <v>0</v>
      </c>
      <c r="B2" s="43" t="n"/>
      <c r="C2" s="93" t="n"/>
      <c r="D2" s="43" t="n"/>
      <c r="E2" s="43" t="n"/>
      <c r="F2" s="47" t="n"/>
      <c r="G2" s="43" t="n"/>
    </row>
    <row r="3" ht="87" customHeight="1">
      <c r="A3" s="43" t="n">
        <v>1</v>
      </c>
      <c r="B3" s="64" t="inlineStr">
        <is>
          <t>Tiempo de captura</t>
        </is>
      </c>
      <c r="C3" s="94" t="inlineStr">
        <is>
          <t>Deteccion de Contacto Regulatorio</t>
        </is>
      </c>
      <c r="D3" s="64" t="inlineStr">
        <is>
          <t>Recepcion de fiscalizacion o requerimiento de la Direccion del Trabajo</t>
        </is>
      </c>
      <c r="E3" s="43" t="inlineStr">
        <is>
          <t>Identificar y capturar oportunamente los contactos regulatorios de la DT, permitiendo iniciar el proceso de gestion de multas de manera temprana.</t>
        </is>
      </c>
      <c r="F3" s="47" t="inlineStr">
        <is>
          <t>LPT / Gerente de Tienda</t>
        </is>
      </c>
      <c r="G3" s="43" t="inlineStr">
        <is>
          <t>Recibir notificacion de fiscalizacion DT en tienda, registrar datos basicos del inspector, fecha, materia y documentacion solicitada.</t>
        </is>
      </c>
    </row>
    <row r="4" ht="87" customHeight="1">
      <c r="A4" s="43" t="n">
        <v>2</v>
      </c>
      <c r="B4" s="87" t="inlineStr">
        <is>
          <t>Completitud registro</t>
        </is>
      </c>
      <c r="C4" s="95" t="inlineStr">
        <is>
          <t>Registro en Sistema</t>
        </is>
      </c>
      <c r="D4" s="86" t="inlineStr">
        <is>
          <t>Documentacion del contacto en sistema de seguimiento</t>
        </is>
      </c>
      <c r="E4" s="85" t="inlineStr">
        <is>
          <t>Centralizar la informacion del contacto regulatorio en un sistema unico que permita su trazabilidad y seguimiento.</t>
        </is>
      </c>
      <c r="F4" s="47" t="inlineStr">
        <is>
          <t>LPT / Analista RRLL</t>
        </is>
      </c>
      <c r="G4" s="43" t="inlineStr">
        <is>
          <t>Completar formulario de registro con ID unico, fecha, local, mercado, region, materia, tipo de contacto y documentacion adjunta.</t>
        </is>
      </c>
    </row>
    <row r="5" ht="72.5" customHeight="1">
      <c r="A5" s="43" t="n">
        <v>3</v>
      </c>
      <c r="B5" s="87" t="inlineStr">
        <is>
          <t>Precision clasificacion</t>
        </is>
      </c>
      <c r="C5" s="96" t="inlineStr">
        <is>
          <t>Categorizacion de la Multa</t>
        </is>
      </c>
      <c r="D5" s="92" t="inlineStr">
        <is>
          <t>Clasificacion por materia, gravedad y tipo de infraccion</t>
        </is>
      </c>
      <c r="E5" s="43" t="inlineStr">
        <is>
          <t>Categorizar cada multa segun su materia para facilitar el analisis de tendencias y definicion de acciones preventivas.</t>
        </is>
      </c>
      <c r="F5" s="47" t="inlineStr">
        <is>
          <t>Analista RRLL / ECO</t>
        </is>
      </c>
      <c r="G5" s="43" t="inlineStr">
        <is>
          <t>Revisar la resolucion o acta de fiscalizacion, identificar materias involucradas, clasificar segun taxonomia definida.</t>
        </is>
      </c>
    </row>
    <row r="6" ht="18.5" customHeight="1">
      <c r="A6" s="43" t="n">
        <v>4</v>
      </c>
      <c r="B6" s="68" t="inlineStr">
        <is>
          <t>Tiempo notificacion</t>
        </is>
      </c>
      <c r="C6" s="84" t="inlineStr">
        <is>
          <t>Notificacion a Responsables</t>
        </is>
      </c>
      <c r="D6" s="50" t="inlineStr">
        <is>
          <t>Comunicacion a LPT, LPM, Gerente y Squad Lead</t>
        </is>
      </c>
      <c r="E6" s="77" t="inlineStr">
        <is>
          <t>Asegurar que los responsables operacionales esten informados del contacto regulatorio para coordinar respuestas.</t>
        </is>
      </c>
      <c r="F6" s="47" t="inlineStr">
        <is>
          <t>Analista RRLL</t>
        </is>
      </c>
      <c r="G6" s="43" t="inlineStr">
        <is>
          <t>Enviar alerta a responsables con resumen del contacto, materia, documentacion requerida y plazos de respuesta.</t>
        </is>
      </c>
    </row>
    <row r="7" ht="18.5" customHeight="1">
      <c r="A7" s="43" t="n">
        <v>5</v>
      </c>
      <c r="B7" s="87" t="inlineStr">
        <is>
          <t>Tasa subsanacion</t>
        </is>
      </c>
      <c r="C7" s="90" t="inlineStr">
        <is>
          <t>Analisis y Evaluacion</t>
        </is>
      </c>
      <c r="D7" s="50" t="inlineStr">
        <is>
          <t>Revision del caso, documentacion de respaldo y estrategia</t>
        </is>
      </c>
      <c r="E7" s="43" t="inlineStr">
        <is>
          <t>Evaluar cada caso para determinar la procedencia de la multa, opciones de defensa o subsanacion.</t>
        </is>
      </c>
      <c r="F7" s="47" t="inlineStr">
        <is>
          <t>ECO / LPM / Legal</t>
        </is>
      </c>
      <c r="G7" s="43" t="inlineStr">
        <is>
          <t>Revisar antecedentes, recopilar documentacion de respaldo, evaluar opciones de recurso o subsanacion.</t>
        </is>
      </c>
    </row>
    <row r="8" ht="18.5" customHeight="1">
      <c r="A8" s="43" t="n">
        <v>6</v>
      </c>
      <c r="B8" s="91" t="inlineStr">
        <is>
          <t>Cobertura casos</t>
        </is>
      </c>
      <c r="C8" s="88" t="inlineStr">
        <is>
          <t>Sesion de Comite</t>
        </is>
      </c>
      <c r="D8" s="89" t="inlineStr">
        <is>
          <t>Revision en reunion quincenal del Comite de Multas</t>
        </is>
      </c>
      <c r="E8" s="77" t="inlineStr">
        <is>
          <t>Generar un espacio periodico de revision y decision sobre los casos de multas con visibilidad ejecutiva.</t>
        </is>
      </c>
      <c r="F8" s="47" t="inlineStr">
        <is>
          <t>Lider Comite de Multas</t>
        </is>
      </c>
      <c r="G8" s="43" t="inlineStr">
        <is>
          <t>Preparar presentacion con casos del periodo, revisar multas consolidadas, analizar tendencias, documentar decisiones.</t>
        </is>
      </c>
    </row>
    <row r="9" ht="93" customHeight="1">
      <c r="A9" s="43" t="n">
        <v>7</v>
      </c>
      <c r="B9" s="43" t="inlineStr">
        <is>
          <t>Acciones definidas</t>
        </is>
      </c>
      <c r="C9" s="76" t="inlineStr">
        <is>
          <t>Definicion Plan de Accion</t>
        </is>
      </c>
      <c r="D9" s="50" t="inlineStr">
        <is>
          <t>Acciones correctivas y preventivas por caso</t>
        </is>
      </c>
      <c r="E9" s="43" t="inlineStr">
        <is>
          <t>Definir acciones especificas para resolver cada caso y prevenir reincidencias con responsables y plazos claros.</t>
        </is>
      </c>
      <c r="F9" s="47" t="inlineStr">
        <is>
          <t>ECO / LPM / Gerente</t>
        </is>
      </c>
      <c r="G9" s="43" t="inlineStr">
        <is>
          <t>Establecer acciones correctivas, asignar responsables, definir fechas de cumplimiento, documentar en sistema.</t>
        </is>
      </c>
    </row>
    <row r="10" ht="103.5" customHeight="1">
      <c r="A10" s="43" t="n">
        <v>8</v>
      </c>
      <c r="B10" s="43" t="inlineStr">
        <is>
          <t>Cumplimiento acciones</t>
        </is>
      </c>
      <c r="C10" s="43" t="inlineStr">
        <is>
          <t>Seguimiento de Acciones</t>
        </is>
      </c>
      <c r="D10" s="50" t="inlineStr">
        <is>
          <t>Monitoreo de cumplimiento del plan de accion</t>
        </is>
      </c>
      <c r="E10" s="43" t="inlineStr">
        <is>
          <t>Verificar el cumplimiento de las acciones comprometidas, escalando incumplimientos.</t>
        </is>
      </c>
      <c r="F10" s="47" t="inlineStr">
        <is>
          <t>Analista RRLL / ECO</t>
        </is>
      </c>
      <c r="G10" s="43" t="inlineStr">
        <is>
          <t>Monitorear avance de acciones, solicitar evidencia, actualizar estado, escalar casos con incumplimiento.</t>
        </is>
      </c>
    </row>
    <row r="11" ht="103.5" customHeight="1">
      <c r="A11" s="43" t="n">
        <v>9</v>
      </c>
      <c r="B11" s="43" t="inlineStr">
        <is>
          <t>Multas cerradas</t>
        </is>
      </c>
      <c r="C11" s="49" t="inlineStr">
        <is>
          <t>Resolucion y Pago</t>
        </is>
      </c>
      <c r="D11" s="50" t="inlineStr">
        <is>
          <t>Cierre de la multa, pago o recurso legal</t>
        </is>
      </c>
      <c r="E11" s="43" t="inlineStr">
        <is>
          <t>Ejecutar la resolucion final del caso mediante pago de la multa o exito de recurso legal.</t>
        </is>
      </c>
      <c r="F11" s="47" t="inlineStr">
        <is>
          <t>Legal / Finanzas</t>
        </is>
      </c>
      <c r="G11" s="43" t="inlineStr">
        <is>
          <t>Gestionar pago de multa si corresponde, tramitar recursos legales, documentar resolucion final.</t>
        </is>
      </c>
    </row>
    <row r="12" ht="103.5" customHeight="1">
      <c r="A12" s="43" t="n">
        <v>10</v>
      </c>
      <c r="B12" s="43" t="inlineStr">
        <is>
          <t>Tendencia reduccion</t>
        </is>
      </c>
      <c r="C12" s="49" t="inlineStr">
        <is>
          <t>Consolidacion y Reporte</t>
        </is>
      </c>
      <c r="D12" s="50" t="inlineStr">
        <is>
          <t>Documentacion final, reporteria y lecciones aprendidas</t>
        </is>
      </c>
      <c r="E12" s="43" t="inlineStr">
        <is>
          <t>Generar reportes consolidados de multas por periodo, identificar tendencias y documentar lecciones aprendidas.</t>
        </is>
      </c>
      <c r="F12" s="47" t="inlineStr">
        <is>
          <t>Lider Comite de Multas</t>
        </is>
      </c>
      <c r="G12" s="43" t="inlineStr">
        <is>
          <t>Consolidar datos por formato, mercado y materia, generar reportes ejecutivos, proponer mejoras preventivas.</t>
        </is>
      </c>
    </row>
    <row r="13" ht="50.25" customFormat="1" customHeight="1" s="45">
      <c r="A13" s="43" t="n">
        <v>11</v>
      </c>
      <c r="B13" s="43" t="n"/>
      <c r="C13" s="43" t="n"/>
      <c r="D13" s="50" t="n"/>
      <c r="E13" s="43" t="n"/>
      <c r="F13" s="47" t="n"/>
      <c r="G13" s="43" t="n"/>
    </row>
    <row r="14" ht="50.25" customFormat="1" customHeight="1" s="45">
      <c r="A14" s="43" t="n">
        <v>12</v>
      </c>
      <c r="B14" s="43" t="n"/>
      <c r="C14" s="43" t="n"/>
      <c r="D14" s="50" t="n"/>
      <c r="E14" s="43" t="n"/>
      <c r="F14" s="47" t="n"/>
      <c r="G14" s="43" t="n"/>
    </row>
    <row r="15" ht="18.5" customHeight="1">
      <c r="A15" s="43" t="n">
        <v>13</v>
      </c>
      <c r="B15" s="43" t="n"/>
      <c r="C15" s="43" t="n"/>
      <c r="D15" s="50" t="n"/>
      <c r="E15" s="43" t="n"/>
      <c r="F15" s="47" t="n"/>
      <c r="G15" s="43" t="n"/>
    </row>
    <row r="16" ht="18.5" customHeight="1">
      <c r="A16" s="43" t="n">
        <v>14</v>
      </c>
      <c r="B16" s="43" t="n"/>
      <c r="C16" s="43" t="n"/>
      <c r="D16" s="50" t="n"/>
      <c r="E16" s="43" t="n"/>
      <c r="F16" s="47" t="n"/>
      <c r="G16" s="43" t="n"/>
    </row>
    <row r="17" ht="45.75" customHeight="1">
      <c r="A17" s="43" t="n">
        <v>15</v>
      </c>
      <c r="B17" s="43" t="n"/>
      <c r="C17" s="43" t="n"/>
      <c r="D17" s="50" t="n"/>
      <c r="E17" s="43" t="n"/>
      <c r="F17" s="47" t="n"/>
      <c r="G17" s="43" t="n"/>
    </row>
    <row r="18" ht="45.75" customHeight="1">
      <c r="A18" s="43" t="n">
        <v>16</v>
      </c>
      <c r="B18" s="43" t="n"/>
      <c r="C18" s="43" t="n"/>
      <c r="D18" s="50" t="n"/>
      <c r="E18" s="43" t="n"/>
      <c r="F18" s="47" t="n"/>
      <c r="G18" s="43" t="n"/>
    </row>
    <row r="19" ht="18.5" customHeight="1">
      <c r="A19" s="43" t="n">
        <v>17</v>
      </c>
      <c r="B19" s="43" t="n"/>
      <c r="C19" s="49" t="n"/>
      <c r="D19" s="50" t="n"/>
      <c r="E19" s="43" t="n"/>
      <c r="F19" s="47" t="n"/>
      <c r="G19" s="43" t="n"/>
    </row>
    <row r="20" ht="18.5" customHeight="1">
      <c r="A20" s="43" t="n">
        <v>18</v>
      </c>
      <c r="B20" s="43" t="n"/>
      <c r="C20" s="49" t="n"/>
      <c r="D20" s="51" t="n"/>
      <c r="E20" s="46" t="n"/>
      <c r="F20" s="47" t="n"/>
      <c r="G20" s="43" t="n"/>
    </row>
    <row r="21" ht="15" customHeight="1">
      <c r="A21" s="43" t="n">
        <v>19</v>
      </c>
      <c r="B21" s="64" t="n"/>
      <c r="C21" s="65" t="n"/>
      <c r="D21" s="66" t="n"/>
      <c r="E21" s="67" t="n"/>
      <c r="F21" s="63" t="n"/>
      <c r="G21" s="64" t="n"/>
    </row>
    <row r="22" ht="15" customHeight="1">
      <c r="A22" s="43" t="n">
        <v>20</v>
      </c>
      <c r="B22" s="78" t="n"/>
      <c r="C22" s="82" t="n"/>
      <c r="D22" s="79" t="n"/>
      <c r="E22" s="80" t="n"/>
      <c r="F22" s="81" t="n"/>
      <c r="G22" s="80" t="n"/>
    </row>
    <row r="23" ht="15" customHeight="1">
      <c r="A23" s="43" t="n">
        <v>21</v>
      </c>
      <c r="B23" s="78" t="n"/>
      <c r="C23" s="82" t="n"/>
      <c r="D23" s="79" t="n"/>
      <c r="E23" s="80" t="n"/>
      <c r="F23" s="81" t="n"/>
      <c r="G23" s="80" t="n"/>
    </row>
    <row r="24" ht="15" customHeight="1">
      <c r="A24" s="43" t="n">
        <v>22</v>
      </c>
      <c r="B24" s="78" t="n"/>
      <c r="C24" s="82" t="n"/>
      <c r="D24" s="79" t="n"/>
      <c r="E24" s="80" t="n"/>
      <c r="F24" s="81" t="n"/>
      <c r="G24" s="80" t="n"/>
    </row>
    <row r="25" ht="15" customHeight="1">
      <c r="A25" s="43" t="n">
        <v>23</v>
      </c>
      <c r="B25" s="78" t="n"/>
      <c r="C25" s="82" t="n"/>
      <c r="D25" s="79" t="n"/>
      <c r="E25" s="80" t="n"/>
      <c r="F25" s="81" t="n"/>
      <c r="G25" s="8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6"/>
  <sheetViews>
    <sheetView showGridLines="0" topLeftCell="A3" zoomScale="60" zoomScaleNormal="60" workbookViewId="0">
      <pane xSplit="2" ySplit="1" topLeftCell="C4" activePane="bottomRight" state="frozen"/>
      <selection pane="topRight" activeCell="A1" sqref="A1"/>
      <selection pane="bottomLeft" activeCell="A1" sqref="A1"/>
      <selection pane="bottomRight" activeCell="AJ8" sqref="AJ8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6" min="37" max="37"/>
    <col width="11.453125" customWidth="1" style="53" min="38" max="38"/>
  </cols>
  <sheetData>
    <row r="2" ht="14.5" customHeight="1">
      <c r="F2" s="29" t="inlineStr">
        <is>
          <t>DETECCIÓN Y REGISTRO</t>
        </is>
      </c>
      <c r="G2" s="29" t="n"/>
      <c r="H2" s="106" t="n"/>
      <c r="L2" s="29" t="inlineStr">
        <is>
          <t>ANÁLISIS Y NOTIFICACIÓN</t>
        </is>
      </c>
      <c r="M2" s="29" t="n"/>
      <c r="N2" s="106" t="n"/>
      <c r="P2" t="inlineStr">
        <is>
          <t>GESTIÓN COMITÉ</t>
        </is>
      </c>
      <c r="R2" s="106" t="n"/>
      <c r="V2" s="29" t="inlineStr">
        <is>
          <t>CIERRE Y REPORTE</t>
        </is>
      </c>
      <c r="W2" s="29" t="n"/>
      <c r="X2" s="29" t="n"/>
      <c r="Y2" s="29" t="n"/>
      <c r="Z2" s="29" t="n"/>
      <c r="AA2" s="29" t="n"/>
      <c r="AB2" s="106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09" t="inlineStr">
        <is>
          <t>Detección Contacto</t>
        </is>
      </c>
      <c r="H3" s="97" t="inlineStr">
        <is>
          <t>Registro Sistema</t>
        </is>
      </c>
      <c r="J3" s="97" t="inlineStr">
        <is>
          <t>Categorización</t>
        </is>
      </c>
      <c r="L3" s="109" t="inlineStr">
        <is>
          <t>Notificación</t>
        </is>
      </c>
      <c r="N3" s="97" t="inlineStr">
        <is>
          <t>Análisis Caso</t>
        </is>
      </c>
      <c r="P3" s="115" t="inlineStr">
        <is>
          <t>Sesión Comité</t>
        </is>
      </c>
      <c r="R3" s="97" t="inlineStr">
        <is>
          <t>Plan Acción</t>
        </is>
      </c>
      <c r="T3" s="117" t="inlineStr">
        <is>
          <t>Seguimiento</t>
        </is>
      </c>
      <c r="V3" s="109" t="inlineStr">
        <is>
          <t>Resolución/Pago</t>
        </is>
      </c>
      <c r="X3" s="112" t="inlineStr">
        <is>
          <t>Consolidación</t>
        </is>
      </c>
      <c r="Z3" s="109" t="inlineStr">
        <is>
          <t>Focos/Proyectos</t>
        </is>
      </c>
      <c r="AB3" s="97" t="inlineStr">
        <is>
          <t>TOTAL HRS SEM</t>
        </is>
      </c>
      <c r="AC3" t="inlineStr">
        <is>
          <t>TOTAL FTE</t>
        </is>
      </c>
      <c r="AD3" s="97" t="n"/>
      <c r="AF3" s="97" t="n"/>
      <c r="AH3" s="113" t="n"/>
      <c r="AK3" s="102" t="n"/>
      <c r="AL3" s="111" t="n"/>
      <c r="AM3" s="2" t="n"/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</t>
        </is>
      </c>
      <c r="AA4" s="31" t="inlineStr">
        <is>
          <t>FTE</t>
        </is>
      </c>
      <c r="AB4" s="32" t="n"/>
      <c r="AC4" s="31" t="n"/>
      <c r="AD4" s="32" t="n"/>
      <c r="AE4" s="31" t="n"/>
      <c r="AF4" s="32" t="n"/>
      <c r="AG4" s="31" t="n"/>
      <c r="AH4" s="33" t="n"/>
      <c r="AI4" s="31" t="n"/>
      <c r="AJ4" s="34" t="n"/>
      <c r="AN4" s="2" t="n">
        <v>5</v>
      </c>
    </row>
    <row r="5" hidden="1" ht="12" customFormat="1" customHeight="1" s="38">
      <c r="A5" s="35" t="inlineStr">
        <is>
          <t>Ejemplo</t>
        </is>
      </c>
      <c r="B5" s="35" t="inlineStr">
        <is>
          <t>Ejemplo</t>
        </is>
      </c>
      <c r="C5" s="35" t="inlineStr">
        <is>
          <t>Ejemplo</t>
        </is>
      </c>
      <c r="D5" s="35" t="inlineStr">
        <is>
          <t>Ejemplo</t>
        </is>
      </c>
      <c r="E5" s="35" t="inlineStr">
        <is>
          <t>Ejemplo</t>
        </is>
      </c>
      <c r="F5" s="36" t="n">
        <v>1</v>
      </c>
      <c r="G5" s="37">
        <f>F5/$AK$5</f>
        <v/>
      </c>
      <c r="H5" s="36" t="n">
        <v>2</v>
      </c>
      <c r="I5" s="37">
        <f>H5/$AK$5</f>
        <v/>
      </c>
      <c r="J5" s="36" t="n">
        <v>3</v>
      </c>
      <c r="K5" s="37">
        <f>J5/$AK$5</f>
        <v/>
      </c>
      <c r="L5" s="36" t="n">
        <v>2</v>
      </c>
      <c r="M5" s="37">
        <f>L5/$AK$5</f>
        <v/>
      </c>
      <c r="N5" s="36" t="n">
        <v>1</v>
      </c>
      <c r="O5" s="37">
        <f>N5/$AK$5</f>
        <v/>
      </c>
      <c r="P5" s="36" t="n">
        <v>1</v>
      </c>
      <c r="Q5" s="37">
        <f>P5/$AK$5</f>
        <v/>
      </c>
      <c r="R5" s="36" t="n">
        <v>1</v>
      </c>
      <c r="S5" s="37">
        <f>R5/$AK$5</f>
        <v/>
      </c>
      <c r="T5" s="36" t="n">
        <v>1</v>
      </c>
      <c r="U5" s="37">
        <f>T5/$AK$5</f>
        <v/>
      </c>
      <c r="V5" s="36" t="n">
        <v>1</v>
      </c>
      <c r="W5" s="37">
        <f>V5/$AK$5</f>
        <v/>
      </c>
      <c r="X5" s="36" t="n">
        <v>2</v>
      </c>
      <c r="Y5" s="37">
        <f>X5/$AK$5</f>
        <v/>
      </c>
      <c r="Z5" s="36" t="n">
        <v>2</v>
      </c>
      <c r="AA5" s="37">
        <f>Z5/$AK$5</f>
        <v/>
      </c>
      <c r="AB5" s="36" t="n">
        <v>2</v>
      </c>
      <c r="AC5" s="37">
        <f>AB5/$AK$5</f>
        <v/>
      </c>
      <c r="AD5" s="36" t="n">
        <v>2</v>
      </c>
      <c r="AE5" s="37">
        <f>AD5/$AK$5</f>
        <v/>
      </c>
      <c r="AF5" s="36" t="n">
        <v>3</v>
      </c>
      <c r="AG5" s="37">
        <f>AF5/$AK$5</f>
        <v/>
      </c>
      <c r="AH5" s="36" t="n">
        <v>20</v>
      </c>
      <c r="AI5" s="37">
        <f>AH5/$AK$5</f>
        <v/>
      </c>
      <c r="AJ5" s="36" t="n"/>
      <c r="AK5" s="57">
        <f>F5+H5+J5+L5+N5+P5+R5+T5+V5+X5+Z5+AB5+AD5+AF5+AH5</f>
        <v/>
      </c>
      <c r="AL5" s="54">
        <f>G5+I5+K5+M5+O5+Q5+S5+U5+W5+Y5+AA5+AC5+AE5+AG5+AI5</f>
        <v/>
      </c>
    </row>
    <row r="6" ht="36" customFormat="1" customHeight="1" s="4">
      <c r="A6" s="60" t="n"/>
      <c r="B6" s="60" t="n"/>
      <c r="C6" s="60" t="n"/>
      <c r="D6" s="60" t="n"/>
      <c r="E6" s="61" t="n"/>
      <c r="F6" s="52" t="n"/>
      <c r="G6" s="62">
        <f>F6/$AK$5</f>
        <v/>
      </c>
      <c r="H6" s="52" t="n"/>
      <c r="I6" s="62">
        <f>H6/$AK$5</f>
        <v/>
      </c>
      <c r="J6" s="52" t="n"/>
      <c r="K6" s="62">
        <f>J6/$AK$5</f>
        <v/>
      </c>
      <c r="L6" s="52" t="n"/>
      <c r="M6" s="62">
        <f>L6/$AK$5</f>
        <v/>
      </c>
      <c r="N6" s="52" t="n"/>
      <c r="O6" s="62">
        <f>N6/$AK$5</f>
        <v/>
      </c>
      <c r="P6" s="52" t="n"/>
      <c r="Q6" s="62">
        <f>P6/$AK$5</f>
        <v/>
      </c>
      <c r="R6" s="52" t="n"/>
      <c r="S6" s="62">
        <f>R6/$AK$5</f>
        <v/>
      </c>
      <c r="T6" s="52" t="n"/>
      <c r="U6" s="62">
        <f>T6/$AK$5</f>
        <v/>
      </c>
      <c r="V6" s="52" t="n"/>
      <c r="W6" s="62">
        <f>V6/$AK$5</f>
        <v/>
      </c>
      <c r="X6" s="52" t="n"/>
      <c r="Y6" s="62">
        <f>X6/$AK$5</f>
        <v/>
      </c>
      <c r="Z6" s="52" t="n"/>
      <c r="AA6" s="62">
        <f>Z6/$AK$5</f>
        <v/>
      </c>
      <c r="AB6" s="52" t="n"/>
      <c r="AC6" s="62">
        <f>AB6/$AK$5</f>
        <v/>
      </c>
      <c r="AD6" s="52" t="n"/>
      <c r="AE6" s="62">
        <f>AD6/$AK$5</f>
        <v/>
      </c>
      <c r="AF6" s="52" t="n"/>
      <c r="AG6" s="62">
        <f>AF6/$AK$5</f>
        <v/>
      </c>
      <c r="AH6" s="52" t="n"/>
      <c r="AI6" s="62">
        <f>AH6/$AK$5</f>
        <v/>
      </c>
      <c r="AJ6" s="72" t="n"/>
      <c r="AK6" s="57">
        <f>F6+H6+J6+L6+N6+P6+R6+T6+V6+X6+Z6+AB6+AD6+AF6+AH6</f>
        <v/>
      </c>
      <c r="AL6" s="54">
        <f>G6+I6+K6+M6+O6+Q6+S6+U6+W6+Y6+AA6+AC6+AE6+AG6+AI6</f>
        <v/>
      </c>
      <c r="AM6" s="69">
        <f>AK6-$AM$3</f>
        <v/>
      </c>
      <c r="AN6" s="4">
        <f>AM6/$AN$4</f>
        <v/>
      </c>
    </row>
    <row r="7" ht="55.5" customFormat="1" customHeight="1" s="4">
      <c r="A7" s="60" t="n"/>
      <c r="B7" s="60" t="n"/>
      <c r="C7" s="60" t="n"/>
      <c r="D7" s="60" t="n"/>
      <c r="E7" s="61" t="n"/>
      <c r="F7" s="52" t="n"/>
      <c r="G7" s="62">
        <f>F7/$AK$5</f>
        <v/>
      </c>
      <c r="H7" s="52" t="n"/>
      <c r="I7" s="62">
        <f>H7/$AK$5</f>
        <v/>
      </c>
      <c r="J7" s="52" t="n"/>
      <c r="K7" s="62">
        <f>J7/$AK$5</f>
        <v/>
      </c>
      <c r="L7" s="52" t="n"/>
      <c r="M7" s="62">
        <f>L7/$AK$5</f>
        <v/>
      </c>
      <c r="N7" s="52" t="n"/>
      <c r="O7" s="62">
        <f>N7/$AK$5</f>
        <v/>
      </c>
      <c r="P7" s="52" t="n"/>
      <c r="Q7" s="62">
        <f>P7/$AK$5</f>
        <v/>
      </c>
      <c r="R7" s="52" t="n"/>
      <c r="S7" s="62">
        <f>R7/$AK$5</f>
        <v/>
      </c>
      <c r="T7" s="52" t="n"/>
      <c r="U7" s="62">
        <f>T7/$AK$5</f>
        <v/>
      </c>
      <c r="V7" s="52" t="n"/>
      <c r="W7" s="62">
        <f>V7/$AK$5</f>
        <v/>
      </c>
      <c r="X7" s="52" t="n"/>
      <c r="Y7" s="62">
        <f>X7/$AK$5</f>
        <v/>
      </c>
      <c r="Z7" s="52" t="n"/>
      <c r="AA7" s="62">
        <f>Z7/$AK$5</f>
        <v/>
      </c>
      <c r="AB7" s="52" t="n"/>
      <c r="AC7" s="62">
        <f>AB7/$AK$5</f>
        <v/>
      </c>
      <c r="AD7" s="52" t="n"/>
      <c r="AE7" s="62">
        <f>AD7/$AK$5</f>
        <v/>
      </c>
      <c r="AF7" s="52" t="n"/>
      <c r="AG7" s="62">
        <f>AF7/$AK$5</f>
        <v/>
      </c>
      <c r="AH7" s="52" t="n"/>
      <c r="AI7" s="62">
        <f>AH7/$AK$5</f>
        <v/>
      </c>
      <c r="AJ7" s="72" t="n"/>
      <c r="AK7" s="57">
        <f>F7+H7+J7+L7+N7+P7+R7+T7+V7+X7+Z7+AB7+AD7+AF7+AH7</f>
        <v/>
      </c>
      <c r="AL7" s="54">
        <f>G7+I7+K7+M7+O7+Q7+S7+U7+W7+Y7+AA7+AC7+AE7+AG7+AI7</f>
        <v/>
      </c>
      <c r="AM7" s="69">
        <f>AK7-$AM$3</f>
        <v/>
      </c>
      <c r="AN7" s="4">
        <f>AM7/$AN$4</f>
        <v/>
      </c>
    </row>
    <row r="8" ht="27" customFormat="1" customHeight="1" s="4">
      <c r="A8" s="60" t="n"/>
      <c r="B8" s="60" t="n"/>
      <c r="C8" s="60" t="n"/>
      <c r="D8" s="60" t="n"/>
      <c r="E8" s="61" t="n"/>
      <c r="F8" s="52" t="n"/>
      <c r="G8" s="62">
        <f>F8/$AK$5</f>
        <v/>
      </c>
      <c r="H8" s="52" t="n"/>
      <c r="I8" s="62">
        <f>H8/$AK$5</f>
        <v/>
      </c>
      <c r="J8" s="52" t="n"/>
      <c r="K8" s="62">
        <f>J8/$AK$5</f>
        <v/>
      </c>
      <c r="L8" s="52" t="n"/>
      <c r="M8" s="62">
        <f>L8/$AK$5</f>
        <v/>
      </c>
      <c r="N8" s="52" t="n"/>
      <c r="O8" s="62">
        <f>N8/$AK$5</f>
        <v/>
      </c>
      <c r="P8" s="52" t="n"/>
      <c r="Q8" s="62">
        <f>P8/$AK$5</f>
        <v/>
      </c>
      <c r="R8" s="52" t="n"/>
      <c r="S8" s="62">
        <f>R8/$AK$5</f>
        <v/>
      </c>
      <c r="T8" s="52" t="n"/>
      <c r="U8" s="62">
        <f>T8/$AK$5</f>
        <v/>
      </c>
      <c r="V8" s="52" t="n"/>
      <c r="W8" s="62">
        <f>V8/$AK$5</f>
        <v/>
      </c>
      <c r="X8" s="52" t="n"/>
      <c r="Y8" s="62">
        <f>X8/$AK$5</f>
        <v/>
      </c>
      <c r="Z8" s="52" t="n"/>
      <c r="AA8" s="62">
        <f>Z8/$AK$5</f>
        <v/>
      </c>
      <c r="AB8" s="52" t="n"/>
      <c r="AC8" s="62">
        <f>AB8/$AK$5</f>
        <v/>
      </c>
      <c r="AD8" s="52" t="n"/>
      <c r="AE8" s="62">
        <f>AD8/$AK$5</f>
        <v/>
      </c>
      <c r="AF8" s="52" t="n"/>
      <c r="AG8" s="62">
        <f>AF8/$AK$5</f>
        <v/>
      </c>
      <c r="AH8" s="52" t="n"/>
      <c r="AI8" s="62">
        <f>AH8/$AK$5</f>
        <v/>
      </c>
      <c r="AJ8" s="72" t="n"/>
      <c r="AK8" s="57">
        <f>F8+H8+J8+L8+N8+P8+R8+T8+V8+X8+Z8+AB8+AD8+AF8+AH8</f>
        <v/>
      </c>
      <c r="AL8" s="54">
        <f>G8+I8+K8+M8+O8+Q8+S8+U8+W8+Y8+AA8+AC8+AE8+AG8+AI8</f>
        <v/>
      </c>
      <c r="AM8" s="69">
        <f>AK8-$AM$3</f>
        <v/>
      </c>
      <c r="AN8" s="4">
        <f>AM8/$AN$4</f>
        <v/>
      </c>
    </row>
    <row r="9" ht="31.5" customFormat="1" customHeight="1" s="4">
      <c r="A9" s="60" t="n"/>
      <c r="B9" s="60" t="n"/>
      <c r="C9" s="60" t="n"/>
      <c r="D9" s="60" t="n"/>
      <c r="E9" s="61" t="n"/>
      <c r="F9" s="52" t="n"/>
      <c r="G9" s="62">
        <f>F9/$AK$5</f>
        <v/>
      </c>
      <c r="H9" s="52" t="n"/>
      <c r="I9" s="62">
        <f>H9/$AK$5</f>
        <v/>
      </c>
      <c r="J9" s="52" t="n"/>
      <c r="K9" s="62">
        <f>J9/$AK$5</f>
        <v/>
      </c>
      <c r="L9" s="52" t="n"/>
      <c r="M9" s="62" t="n"/>
      <c r="N9" s="52" t="n"/>
      <c r="O9" s="62">
        <f>N9/$AK$5</f>
        <v/>
      </c>
      <c r="P9" s="52" t="n"/>
      <c r="Q9" s="62">
        <f>P9/$AK$5</f>
        <v/>
      </c>
      <c r="R9" s="52" t="n"/>
      <c r="S9" s="62">
        <f>R9/$AK$5</f>
        <v/>
      </c>
      <c r="T9" s="52" t="n"/>
      <c r="U9" s="62">
        <f>T9/$AK$5</f>
        <v/>
      </c>
      <c r="V9" s="52" t="n"/>
      <c r="W9" s="62">
        <f>V9/$AK$5</f>
        <v/>
      </c>
      <c r="X9" s="52" t="n"/>
      <c r="Y9" s="62">
        <f>X9/$AK$5</f>
        <v/>
      </c>
      <c r="Z9" s="52" t="n"/>
      <c r="AA9" s="62">
        <f>Z9/$AK$5</f>
        <v/>
      </c>
      <c r="AB9" s="52" t="n"/>
      <c r="AC9" s="62">
        <f>AB9/$AK$5</f>
        <v/>
      </c>
      <c r="AD9" s="52" t="n"/>
      <c r="AE9" s="62">
        <f>AD9/$AK$5</f>
        <v/>
      </c>
      <c r="AF9" s="52" t="n"/>
      <c r="AG9" s="62">
        <f>AF9/$AK$5</f>
        <v/>
      </c>
      <c r="AH9" s="52" t="n"/>
      <c r="AI9" s="62">
        <f>AH9/$AK$5</f>
        <v/>
      </c>
      <c r="AJ9" s="72" t="n"/>
      <c r="AK9" s="57">
        <f>F9+H9+J9+L9+N9+P9+R9+T9+V9+X9+Z9+AB9+AD9+AF9+AH9</f>
        <v/>
      </c>
      <c r="AL9" s="54">
        <f>G9+I9+K9+M9+O9+Q9+S9+U9+W9+Y9+AA9+AC9+AE9+AG9+AI9</f>
        <v/>
      </c>
      <c r="AM9" s="69">
        <f>AK9-$AM$3</f>
        <v/>
      </c>
      <c r="AN9" s="4">
        <f>AM9/$AN$4</f>
        <v/>
      </c>
    </row>
    <row r="10" ht="14.5" customHeight="1">
      <c r="D10" s="3" t="n"/>
      <c r="E10" s="40" t="inlineStr">
        <is>
          <t>Max</t>
        </is>
      </c>
      <c r="F10" s="41">
        <f>MAX(F5:F8)</f>
        <v/>
      </c>
      <c r="G10" s="37">
        <f>F10/$AK$5</f>
        <v/>
      </c>
      <c r="H10" s="41">
        <f>MAX(H5:H8)</f>
        <v/>
      </c>
      <c r="I10" s="37">
        <f>H10/$AK$5</f>
        <v/>
      </c>
      <c r="J10" s="41">
        <f>MAX(J5:J8)</f>
        <v/>
      </c>
      <c r="K10" s="37">
        <f>J10/$AK$5</f>
        <v/>
      </c>
      <c r="L10" s="41">
        <f>MAX(L5:L8)</f>
        <v/>
      </c>
      <c r="M10" s="37">
        <f>L10/$AK$5</f>
        <v/>
      </c>
      <c r="N10" s="41">
        <f>MAX(N5:N8)</f>
        <v/>
      </c>
      <c r="O10" s="37">
        <f>N10/$AK$5</f>
        <v/>
      </c>
      <c r="P10" s="41">
        <f>MAX(P5:P8)</f>
        <v/>
      </c>
      <c r="Q10" s="37">
        <f>P10/$AK$5</f>
        <v/>
      </c>
      <c r="R10" s="41">
        <f>MAX(R5:R8)</f>
        <v/>
      </c>
      <c r="S10" s="37">
        <f>R10/$AK$5</f>
        <v/>
      </c>
      <c r="T10" s="41">
        <f>MAX(T5:T8)</f>
        <v/>
      </c>
      <c r="U10" s="37">
        <f>T10/$AK$5</f>
        <v/>
      </c>
      <c r="V10" s="41">
        <f>MAX(V5:V8)</f>
        <v/>
      </c>
      <c r="W10" s="37">
        <f>V10/$AK$5</f>
        <v/>
      </c>
      <c r="X10" s="41">
        <f>MAX(X5:X8)</f>
        <v/>
      </c>
      <c r="Y10" s="37">
        <f>X10/$AK$5</f>
        <v/>
      </c>
      <c r="Z10" s="41">
        <f>MAX(Z5:Z8)</f>
        <v/>
      </c>
      <c r="AA10" s="37">
        <f>Z10/$AK$5</f>
        <v/>
      </c>
      <c r="AB10" s="41">
        <f>MAX(AB5:AB8)</f>
        <v/>
      </c>
      <c r="AC10" s="37">
        <f>AB10/$AK$5</f>
        <v/>
      </c>
      <c r="AD10" s="41">
        <f>MAX(AD5:AD8)</f>
        <v/>
      </c>
      <c r="AE10" s="37">
        <f>AD10/$AK$5</f>
        <v/>
      </c>
      <c r="AF10" s="41">
        <f>MAX(AF5:AF8)</f>
        <v/>
      </c>
      <c r="AG10" s="37">
        <f>AF10/$AK$5</f>
        <v/>
      </c>
      <c r="AH10" s="41">
        <f>MAX(AH5:AH8)</f>
        <v/>
      </c>
      <c r="AI10" s="37">
        <f>AH10/$AK$5</f>
        <v/>
      </c>
      <c r="AJ10" s="41" t="n"/>
      <c r="AK10" s="57">
        <f>F10+H10+J10+L10+N10+P10+R10+T10+V10+X10+Z10+AB10+AD10+AF10+AH10</f>
        <v/>
      </c>
      <c r="AL10" s="55">
        <f>MAX(AL5:AL8)</f>
        <v/>
      </c>
    </row>
    <row r="11" ht="14.5" customHeight="1">
      <c r="D11" s="3" t="n"/>
      <c r="E11" s="40" t="inlineStr">
        <is>
          <t>Min</t>
        </is>
      </c>
      <c r="F11" s="41">
        <f>MIN(F5:F8)</f>
        <v/>
      </c>
      <c r="G11" s="37">
        <f>F11/$AK$5</f>
        <v/>
      </c>
      <c r="H11" s="41">
        <f>MIN(H5:H8)</f>
        <v/>
      </c>
      <c r="I11" s="37">
        <f>H11/$AK$5</f>
        <v/>
      </c>
      <c r="J11" s="41">
        <f>MIN(J5:J8)</f>
        <v/>
      </c>
      <c r="K11" s="37">
        <f>J11/$AK$5</f>
        <v/>
      </c>
      <c r="L11" s="41">
        <f>MIN(L5:L8)</f>
        <v/>
      </c>
      <c r="M11" s="37">
        <f>L11/$AK$5</f>
        <v/>
      </c>
      <c r="N11" s="41">
        <f>MIN(N5:N8)</f>
        <v/>
      </c>
      <c r="O11" s="37">
        <f>N11/$AK$5</f>
        <v/>
      </c>
      <c r="P11" s="41">
        <f>MIN(P5:P8)</f>
        <v/>
      </c>
      <c r="Q11" s="37">
        <f>P11/$AK$5</f>
        <v/>
      </c>
      <c r="R11" s="41">
        <f>MIN(R5:R8)</f>
        <v/>
      </c>
      <c r="S11" s="37">
        <f>R11/$AK$5</f>
        <v/>
      </c>
      <c r="T11" s="41">
        <f>MIN(T5:T8)</f>
        <v/>
      </c>
      <c r="U11" s="37">
        <f>T11/$AK$5</f>
        <v/>
      </c>
      <c r="V11" s="41">
        <f>MIN(V5:V8)</f>
        <v/>
      </c>
      <c r="W11" s="37">
        <f>V11/$AK$5</f>
        <v/>
      </c>
      <c r="X11" s="41">
        <f>MIN(X5:X8)</f>
        <v/>
      </c>
      <c r="Y11" s="37">
        <f>X11/$AK$5</f>
        <v/>
      </c>
      <c r="Z11" s="41">
        <f>MIN(Z5:Z8)</f>
        <v/>
      </c>
      <c r="AA11" s="37">
        <f>Z11/$AK$5</f>
        <v/>
      </c>
      <c r="AB11" s="41">
        <f>MIN(AB5:AB8)</f>
        <v/>
      </c>
      <c r="AC11" s="37">
        <f>AB11/$AK$5</f>
        <v/>
      </c>
      <c r="AD11" s="41">
        <f>MIN(AD5:AD8)</f>
        <v/>
      </c>
      <c r="AE11" s="37">
        <f>AD11/$AK$5</f>
        <v/>
      </c>
      <c r="AF11" s="41">
        <f>MIN(AF5:AF8)</f>
        <v/>
      </c>
      <c r="AG11" s="37">
        <f>AF11/$AK$5</f>
        <v/>
      </c>
      <c r="AH11" s="41">
        <f>MIN(AH5:AH8)</f>
        <v/>
      </c>
      <c r="AI11" s="37">
        <f>AH11/$AK$5</f>
        <v/>
      </c>
      <c r="AJ11" s="41" t="n"/>
      <c r="AK11" s="57">
        <f>F11+H11+J11+L11+N11+P11+R11+T11+V11+X11+Z11+AB11+AD11+AF11+AH11</f>
        <v/>
      </c>
      <c r="AL11" s="55">
        <f>MIN(AL5:AL8)</f>
        <v/>
      </c>
    </row>
    <row r="12" ht="14.5" customHeight="1">
      <c r="D12" s="3" t="n"/>
      <c r="E12" s="40" t="inlineStr">
        <is>
          <t>Mediana</t>
        </is>
      </c>
      <c r="F12" s="41">
        <f>MEDIAN(F5:F8)</f>
        <v/>
      </c>
      <c r="G12" s="70">
        <f>F12/$AK$5</f>
        <v/>
      </c>
      <c r="H12" s="41">
        <f>MEDIAN(H5:H8)</f>
        <v/>
      </c>
      <c r="I12" s="70">
        <f>H12/$AK$5</f>
        <v/>
      </c>
      <c r="J12" s="41">
        <f>MEDIAN(J5:J8)</f>
        <v/>
      </c>
      <c r="K12" s="70">
        <f>J12/$AK$5</f>
        <v/>
      </c>
      <c r="L12" s="41">
        <f>MEDIAN(L5:L8)</f>
        <v/>
      </c>
      <c r="M12" s="70">
        <f>L12/$AK$5</f>
        <v/>
      </c>
      <c r="N12" s="41">
        <f>MEDIAN(N5:N8)</f>
        <v/>
      </c>
      <c r="O12" s="70">
        <f>N12/$AK$5</f>
        <v/>
      </c>
      <c r="P12" s="41">
        <f>MEDIAN(P5:P8)</f>
        <v/>
      </c>
      <c r="Q12" s="70">
        <f>P12/$AK$5</f>
        <v/>
      </c>
      <c r="R12" s="41">
        <f>MEDIAN(R5:R8)</f>
        <v/>
      </c>
      <c r="S12" s="70">
        <f>R12/$AK$5</f>
        <v/>
      </c>
      <c r="T12" s="41">
        <f>MEDIAN(T5:T8)</f>
        <v/>
      </c>
      <c r="U12" s="70">
        <f>T12/$AK$5</f>
        <v/>
      </c>
      <c r="V12" s="41">
        <f>MEDIAN(V5:V8)</f>
        <v/>
      </c>
      <c r="W12" s="70">
        <f>V12/$AK$5</f>
        <v/>
      </c>
      <c r="X12" s="41">
        <f>MEDIAN(X5:X8)</f>
        <v/>
      </c>
      <c r="Y12" s="70">
        <f>X12/$AK$5</f>
        <v/>
      </c>
      <c r="Z12" s="41">
        <f>MEDIAN(Z5:Z8)</f>
        <v/>
      </c>
      <c r="AA12" s="70">
        <f>Z12/$AK$5</f>
        <v/>
      </c>
      <c r="AB12" s="41">
        <f>MEDIAN(AB5:AB8)</f>
        <v/>
      </c>
      <c r="AC12" s="70">
        <f>AB12/$AK$5</f>
        <v/>
      </c>
      <c r="AD12" s="41">
        <f>MEDIAN(AD5:AD8)</f>
        <v/>
      </c>
      <c r="AE12" s="70">
        <f>AD12/$AK$5</f>
        <v/>
      </c>
      <c r="AF12" s="41">
        <f>MEDIAN(AF5:AF8)</f>
        <v/>
      </c>
      <c r="AG12" s="70">
        <f>AF12/$AK$5</f>
        <v/>
      </c>
      <c r="AH12" s="41">
        <f>MEDIAN(AH5:AH8)</f>
        <v/>
      </c>
      <c r="AI12" s="70">
        <f>AH12/$AK$5</f>
        <v/>
      </c>
      <c r="AJ12" s="41" t="n"/>
      <c r="AK12" s="57">
        <f>F12+H12+J12+L12+N12+P12+R12+T12+V12+X12+Z12+AB12+AD12+AF12+AH12</f>
        <v/>
      </c>
      <c r="AL12" s="55">
        <f>MEDIAN(AL5:AL8)</f>
        <v/>
      </c>
    </row>
    <row r="13" ht="42.75" customFormat="1" customHeight="1" s="44">
      <c r="F13" s="105" t="n"/>
      <c r="G13" s="100" t="n"/>
      <c r="H13" s="105" t="n"/>
      <c r="I13" s="100" t="n"/>
      <c r="J13" s="105" t="n"/>
      <c r="K13" s="100" t="n"/>
      <c r="L13" s="105" t="n"/>
      <c r="M13" s="100" t="n"/>
      <c r="N13" s="105" t="n"/>
      <c r="O13" s="100" t="n"/>
      <c r="P13" s="99" t="n"/>
      <c r="Q13" s="100" t="n"/>
      <c r="R13" s="99" t="n"/>
      <c r="S13" s="100" t="n"/>
      <c r="T13" s="99" t="n"/>
      <c r="U13" s="100" t="n"/>
      <c r="V13" s="99" t="n"/>
      <c r="W13" s="100" t="n"/>
      <c r="X13" s="108" t="n"/>
      <c r="Y13" s="100" t="n"/>
      <c r="Z13" s="99" t="n"/>
      <c r="AA13" s="100" t="n"/>
      <c r="AB13" s="99" t="n"/>
      <c r="AC13" s="100" t="n"/>
      <c r="AD13" s="99" t="n"/>
      <c r="AE13" s="100" t="n"/>
      <c r="AF13" s="99" t="n"/>
      <c r="AG13" s="100" t="n"/>
      <c r="AH13" s="99" t="n"/>
      <c r="AI13" s="100" t="n"/>
      <c r="AL13" s="71" t="n"/>
    </row>
    <row r="14" ht="50.25" customFormat="1" customHeight="1" s="75">
      <c r="A14" s="73" t="n"/>
      <c r="B14" s="73" t="n"/>
      <c r="C14" s="73" t="n"/>
      <c r="D14" s="73" t="n"/>
      <c r="E14" s="73" t="n"/>
      <c r="F14" s="101" t="n"/>
      <c r="G14" s="100" t="n"/>
      <c r="H14" s="101" t="n"/>
      <c r="I14" s="100" t="n"/>
      <c r="J14" s="101" t="n"/>
      <c r="K14" s="100" t="n"/>
      <c r="L14" s="101" t="n"/>
      <c r="M14" s="100" t="n"/>
      <c r="N14" s="101" t="n"/>
      <c r="O14" s="100" t="n"/>
      <c r="P14" s="104" t="n"/>
      <c r="Q14" s="100" t="n"/>
      <c r="R14" s="101" t="n"/>
      <c r="S14" s="100" t="n"/>
      <c r="T14" s="104" t="n"/>
      <c r="U14" s="100" t="n"/>
      <c r="V14" s="101" t="n"/>
      <c r="W14" s="100" t="n"/>
      <c r="X14" s="104" t="n"/>
      <c r="Y14" s="100" t="n"/>
      <c r="Z14" s="101" t="n"/>
      <c r="AA14" s="100" t="n"/>
      <c r="AB14" s="101" t="n"/>
      <c r="AC14" s="100" t="n"/>
      <c r="AD14" s="101" t="n"/>
      <c r="AE14" s="100" t="n"/>
      <c r="AF14" s="101" t="n"/>
      <c r="AG14" s="100" t="n"/>
      <c r="AH14" s="104" t="n"/>
      <c r="AI14" s="100" t="n"/>
      <c r="AJ14" s="73" t="n"/>
      <c r="AK14" s="73" t="n"/>
      <c r="AL14" s="74" t="n"/>
      <c r="AM14" s="73" t="n"/>
      <c r="AN14" s="73" t="n"/>
    </row>
    <row r="16" ht="15" customHeight="1">
      <c r="A16" t="inlineStr">
        <is>
          <t xml:space="preserve">Consideraciones: El levantamiento de perfil solo ocurre una vez, al igual que la vacante </t>
        </is>
      </c>
    </row>
  </sheetData>
  <autoFilter ref="A4:AL12"/>
  <mergeCells count="30">
    <mergeCell ref="J14:K14"/>
    <mergeCell ref="AB14:AC14"/>
    <mergeCell ref="AD14:AE14"/>
    <mergeCell ref="T14:U14"/>
    <mergeCell ref="V14:W14"/>
    <mergeCell ref="R13:S13"/>
    <mergeCell ref="AH14:AI14"/>
    <mergeCell ref="J13:K13"/>
    <mergeCell ref="V13:W13"/>
    <mergeCell ref="L13:M13"/>
    <mergeCell ref="R14:S14"/>
    <mergeCell ref="X13:Y13"/>
    <mergeCell ref="AD13:AE13"/>
    <mergeCell ref="L14:M14"/>
    <mergeCell ref="N14:O14"/>
    <mergeCell ref="AF14:AG14"/>
    <mergeCell ref="X14:Y14"/>
    <mergeCell ref="AH13:AI13"/>
    <mergeCell ref="P13:Q13"/>
    <mergeCell ref="H13:I13"/>
    <mergeCell ref="Z14:AA14"/>
    <mergeCell ref="T13:U13"/>
    <mergeCell ref="Z13:AA13"/>
    <mergeCell ref="F13:G13"/>
    <mergeCell ref="N13:O13"/>
    <mergeCell ref="AB13:AC13"/>
    <mergeCell ref="H14:I14"/>
    <mergeCell ref="P14:Q14"/>
    <mergeCell ref="F14:G14"/>
    <mergeCell ref="AF13:AG1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2"/>
    <col width="11.453125" customWidth="1" style="5" min="13" max="16384"/>
  </cols>
  <sheetData>
    <row r="1" ht="29" customHeight="1">
      <c r="B1" s="42" t="inlineStr">
        <is>
          <t xml:space="preserve">Lider </t>
        </is>
      </c>
      <c r="C1" s="42" t="inlineStr">
        <is>
          <t>Iniciativa</t>
        </is>
      </c>
      <c r="D1" s="42" t="inlineStr">
        <is>
          <t xml:space="preserve">Nombre </t>
        </is>
      </c>
      <c r="E1" s="42" t="inlineStr">
        <is>
          <t xml:space="preserve">Horas semanales </t>
        </is>
      </c>
      <c r="F1" s="42" t="inlineStr">
        <is>
          <t xml:space="preserve">Plazo de inicio </t>
        </is>
      </c>
      <c r="G1" s="42" t="inlineStr">
        <is>
          <t xml:space="preserve"> Plazo de término</t>
        </is>
      </c>
      <c r="H1" s="42" t="inlineStr">
        <is>
          <t xml:space="preserve">Estado </t>
        </is>
      </c>
      <c r="I1" s="42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2026-02-18T17:50:41Z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